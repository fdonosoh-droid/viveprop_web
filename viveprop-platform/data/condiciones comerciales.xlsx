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AI\viveprop_web\viveprop-platform\data\"/>
    </mc:Choice>
  </mc:AlternateContent>
  <xr:revisionPtr revIDLastSave="0" documentId="13_ncr:1_{99411D3D-7E6E-455A-84A8-8A35D9C3E26C}" xr6:coauthVersionLast="47" xr6:coauthVersionMax="47" xr10:uidLastSave="{00000000-0000-0000-0000-000000000000}"/>
  <bookViews>
    <workbookView xWindow="-108" yWindow="-108" windowWidth="23256" windowHeight="12456" firstSheet="1" activeTab="5" xr2:uid="{00000000-000D-0000-FFFF-FFFF00000000}"/>
  </bookViews>
  <sheets>
    <sheet name="Copia de COTIZADOR ENTREGA INME" sheetId="10" state="hidden" r:id="rId1"/>
    <sheet name="CC MAESTRA" sheetId="11" r:id="rId2"/>
    <sheet name="CC URMENETA" sheetId="12" r:id="rId3"/>
    <sheet name="CC RVC" sheetId="13" r:id="rId4"/>
    <sheet name="TOC TOC" sheetId="14" r:id="rId5"/>
    <sheet name="CC INGEVEC" sheetId="15" r:id="rId6"/>
  </sheets>
  <definedNames>
    <definedName name="_xlnm._FilterDatabase" localSheetId="2" hidden="1">'CC URMENETA'!$A$4:$Z$199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9" roundtripDataChecksum="RsBnEQxlGMiVKrryumQZaEFuxoQZarlgNwqw/EXV3wU="/>
    </ext>
  </extLst>
</workbook>
</file>

<file path=xl/calcChain.xml><?xml version="1.0" encoding="utf-8"?>
<calcChain xmlns="http://schemas.openxmlformats.org/spreadsheetml/2006/main">
  <c r="A3" i="15" l="1"/>
  <c r="A4" i="15" s="1"/>
  <c r="A5" i="15" s="1"/>
  <c r="A6" i="15" s="1"/>
  <c r="A7" i="15" s="1"/>
  <c r="A8" i="15" s="1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M49" i="13" l="1"/>
  <c r="M48" i="13"/>
  <c r="M47" i="13"/>
  <c r="M46" i="13"/>
  <c r="M45" i="13"/>
  <c r="M44" i="13"/>
  <c r="M43" i="13"/>
  <c r="M42" i="13"/>
  <c r="M41" i="13"/>
  <c r="M40" i="13"/>
  <c r="M39" i="13"/>
  <c r="M38" i="13"/>
  <c r="M37" i="13"/>
  <c r="E51" i="11" l="1"/>
  <c r="D51" i="11" s="1"/>
  <c r="E50" i="11"/>
  <c r="D50" i="11" s="1"/>
  <c r="E48" i="11"/>
  <c r="D48" i="11" s="1"/>
  <c r="E47" i="11"/>
  <c r="D47" i="11" s="1"/>
  <c r="E46" i="11"/>
  <c r="D46" i="11" s="1"/>
  <c r="E45" i="11"/>
  <c r="D45" i="11" s="1"/>
  <c r="E44" i="11"/>
  <c r="D44" i="11" s="1"/>
  <c r="E43" i="11"/>
  <c r="D43" i="11" s="1"/>
  <c r="E42" i="11"/>
  <c r="D42" i="11" s="1"/>
  <c r="E41" i="11"/>
  <c r="D41" i="11" s="1"/>
  <c r="I10" i="11"/>
  <c r="I9" i="11"/>
  <c r="I8" i="11"/>
  <c r="I7" i="11"/>
  <c r="I6" i="11"/>
  <c r="I5" i="11"/>
  <c r="I4" i="11"/>
  <c r="G71" i="10" l="1"/>
  <c r="G65" i="10"/>
  <c r="F65" i="10"/>
  <c r="E65" i="10"/>
  <c r="G64" i="10"/>
  <c r="F64" i="10"/>
  <c r="G63" i="10"/>
  <c r="F63" i="10"/>
  <c r="G55" i="10"/>
  <c r="F55" i="10"/>
  <c r="G48" i="10"/>
  <c r="F48" i="10"/>
  <c r="G40" i="10"/>
  <c r="E40" i="10"/>
  <c r="E33" i="10"/>
  <c r="E32" i="10"/>
  <c r="G32" i="10" s="1"/>
  <c r="G31" i="10"/>
  <c r="E31" i="10"/>
  <c r="G30" i="10"/>
  <c r="E63" i="10" s="1"/>
  <c r="E30" i="10"/>
  <c r="E29" i="10"/>
  <c r="G28" i="10"/>
  <c r="E28" i="10"/>
  <c r="G27" i="10"/>
  <c r="G26" i="10"/>
  <c r="G25" i="10"/>
  <c r="G19" i="10"/>
  <c r="F40" i="10" l="1"/>
  <c r="F71" i="10"/>
  <c r="E71" i="10"/>
  <c r="E34" i="10"/>
  <c r="G33" i="10"/>
  <c r="E39" i="10"/>
  <c r="E41" i="10" l="1"/>
  <c r="G39" i="10"/>
  <c r="E44" i="10"/>
  <c r="G44" i="10" s="1"/>
  <c r="G34" i="10"/>
  <c r="F31" i="10" l="1"/>
  <c r="E50" i="10"/>
  <c r="G62" i="10"/>
  <c r="G66" i="10" s="1"/>
  <c r="F62" i="10"/>
  <c r="F66" i="10" s="1"/>
  <c r="G50" i="10"/>
  <c r="F50" i="10"/>
  <c r="E62" i="10"/>
  <c r="E66" i="10" s="1"/>
  <c r="G41" i="10"/>
  <c r="G42" i="10" s="1"/>
  <c r="F41" i="10"/>
  <c r="F42" i="10" s="1"/>
  <c r="E42" i="10"/>
  <c r="G68" i="10" l="1"/>
  <c r="G69" i="10" s="1"/>
  <c r="G70" i="10" s="1"/>
  <c r="E56" i="10"/>
  <c r="E57" i="10" s="1"/>
  <c r="E61" i="10" s="1"/>
  <c r="E67" i="10" s="1"/>
  <c r="E51" i="10"/>
  <c r="G56" i="10"/>
  <c r="G57" i="10" s="1"/>
  <c r="G61" i="10" s="1"/>
  <c r="G67" i="10" s="1"/>
  <c r="G51" i="10"/>
  <c r="F51" i="10"/>
  <c r="F56" i="10"/>
  <c r="F57" i="10" s="1"/>
  <c r="F61" i="10" s="1"/>
  <c r="F67" i="10" s="1"/>
  <c r="E68" i="10" l="1"/>
  <c r="E69" i="10" s="1"/>
  <c r="E70" i="10" s="1"/>
  <c r="F68" i="10"/>
  <c r="F69" i="10" s="1"/>
  <c r="F70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Natalia Vega Silva</author>
  </authors>
  <commentList>
    <comment ref="R25" authorId="0" shapeId="0" xr:uid="{06697139-0D48-4FCA-A90A-1239F6BA93B2}">
      <text>
        <r>
          <rPr>
            <b/>
            <sz val="9"/>
            <color indexed="81"/>
            <rFont val="Tahoma"/>
            <family val="2"/>
          </rPr>
          <t>Si tiene la promoción de 24 dividendos el credito directo tiene que ser máximo en 24 cuotas</t>
        </r>
      </text>
    </comment>
    <comment ref="R26" authorId="0" shapeId="0" xr:uid="{6823522F-0AF1-4862-B567-D534DF8FF1FE}">
      <text>
        <r>
          <rPr>
            <b/>
            <sz val="9"/>
            <color indexed="81"/>
            <rFont val="Tahoma"/>
            <family val="2"/>
          </rPr>
          <t>Si tiene la promoción de 24 dividendos el credito directo tiene que ser máximo en 24 cuotas</t>
        </r>
      </text>
    </comment>
  </commentList>
</comments>
</file>

<file path=xl/sharedStrings.xml><?xml version="1.0" encoding="utf-8"?>
<sst xmlns="http://schemas.openxmlformats.org/spreadsheetml/2006/main" count="1820" uniqueCount="778">
  <si>
    <t>COMUNA</t>
  </si>
  <si>
    <t>OPORTUNIDADES</t>
  </si>
  <si>
    <t>Independencia</t>
  </si>
  <si>
    <t>La Cisterna</t>
  </si>
  <si>
    <t>Estudio</t>
  </si>
  <si>
    <t>Estación Central</t>
  </si>
  <si>
    <t>Santiago</t>
  </si>
  <si>
    <t>La Florida</t>
  </si>
  <si>
    <t>Quinta Normal</t>
  </si>
  <si>
    <t>Estacionamiento</t>
  </si>
  <si>
    <t>Ñuñoa</t>
  </si>
  <si>
    <t>San Miguel</t>
  </si>
  <si>
    <t>Pintor Cicarelli II</t>
  </si>
  <si>
    <t>San Joaquín</t>
  </si>
  <si>
    <t>Norte</t>
  </si>
  <si>
    <t>Coquimbo</t>
  </si>
  <si>
    <t>Renca</t>
  </si>
  <si>
    <t>Valparaíso</t>
  </si>
  <si>
    <t>Trinidad III</t>
  </si>
  <si>
    <t>Concepción</t>
  </si>
  <si>
    <t>Aldunate</t>
  </si>
  <si>
    <t>Plaza Cervantes I</t>
  </si>
  <si>
    <t>Cerrillos</t>
  </si>
  <si>
    <t>General Mackenna</t>
  </si>
  <si>
    <t>Antofagasta</t>
  </si>
  <si>
    <t>TIPO ENTREGA</t>
  </si>
  <si>
    <t>Entrega Inmediata</t>
  </si>
  <si>
    <t>Inmediata</t>
  </si>
  <si>
    <t>Bodega</t>
  </si>
  <si>
    <t>2do semestre 2027</t>
  </si>
  <si>
    <t>Valparaiso</t>
  </si>
  <si>
    <t>1er semestre 2028</t>
  </si>
  <si>
    <t>2do semestre 2028</t>
  </si>
  <si>
    <t>1er semestre 2029</t>
  </si>
  <si>
    <t>LOCAL COMERCIAL</t>
  </si>
  <si>
    <t>Rancagua</t>
  </si>
  <si>
    <t>Temuco</t>
  </si>
  <si>
    <t>Quilicura</t>
  </si>
  <si>
    <t>SERRANO TORRE A</t>
  </si>
  <si>
    <t>Puerto Montt</t>
  </si>
  <si>
    <t>2D/2B/CI/4C</t>
  </si>
  <si>
    <t>2D/2B/CI/4C/M</t>
  </si>
  <si>
    <t>EDIFICIO GUILLERMO MANN</t>
  </si>
  <si>
    <t>2D/2B/CK/4C</t>
  </si>
  <si>
    <t>PARQUE MARAÑON TORRE A</t>
  </si>
  <si>
    <t>Viña del Mar</t>
  </si>
  <si>
    <t>1D/1B/CK/2C</t>
  </si>
  <si>
    <t>3D/1B/CK/5C</t>
  </si>
  <si>
    <t>2D/1B/CK/4C</t>
  </si>
  <si>
    <t>2D/1B/CK/3C</t>
  </si>
  <si>
    <t>EDIFICIO CORONEL SOUPER</t>
  </si>
  <si>
    <t>EDIFICIO CASTILLO URIZAR</t>
  </si>
  <si>
    <t>EDIFICIO TRINIDAD RAMIREZ</t>
  </si>
  <si>
    <t>EDIFICIO LIA AGUIRRE</t>
  </si>
  <si>
    <t>2D/2B/CK/4C/M</t>
  </si>
  <si>
    <t>Concon</t>
  </si>
  <si>
    <t>3D/2B/CC/6C</t>
  </si>
  <si>
    <t>3D/2B/CI/6C</t>
  </si>
  <si>
    <t>ALTO MARAÑON 3</t>
  </si>
  <si>
    <t>3D/2B/CI/5C</t>
  </si>
  <si>
    <t>1D/1B</t>
  </si>
  <si>
    <t>2D/2B</t>
  </si>
  <si>
    <t>1,5D/1B</t>
  </si>
  <si>
    <t>2D/1B</t>
  </si>
  <si>
    <t>1.5D/2B 1S</t>
  </si>
  <si>
    <t>2D/2B 2S</t>
  </si>
  <si>
    <t>1.5D/2B 2S</t>
  </si>
  <si>
    <t>1er Semestre 2027</t>
  </si>
  <si>
    <t>2D/2B 1S</t>
  </si>
  <si>
    <t>2D/2B L</t>
  </si>
  <si>
    <t>Etapa</t>
  </si>
  <si>
    <t>Reserva</t>
  </si>
  <si>
    <t>Inmobiliaria</t>
  </si>
  <si>
    <t>Nombre Broker</t>
  </si>
  <si>
    <t>Nombre Cliente</t>
  </si>
  <si>
    <t>E-mail</t>
  </si>
  <si>
    <t>Rut</t>
  </si>
  <si>
    <t>Celular</t>
  </si>
  <si>
    <t>Datos del proyecto</t>
  </si>
  <si>
    <t>Proyecto</t>
  </si>
  <si>
    <t>Entrega Aprox.</t>
  </si>
  <si>
    <t>Características de la propiedad</t>
  </si>
  <si>
    <t>Nº Unidad</t>
  </si>
  <si>
    <t>Piso</t>
  </si>
  <si>
    <t>Orientación</t>
  </si>
  <si>
    <t>Tipología</t>
  </si>
  <si>
    <t>Dormitorios</t>
  </si>
  <si>
    <t>Baños</t>
  </si>
  <si>
    <t>Sup. Útil</t>
  </si>
  <si>
    <t>Sup. Terraza</t>
  </si>
  <si>
    <t>Sup. Total</t>
  </si>
  <si>
    <t>Valor UF</t>
  </si>
  <si>
    <t>Valores</t>
  </si>
  <si>
    <t>UF</t>
  </si>
  <si>
    <t>%</t>
  </si>
  <si>
    <t>$</t>
  </si>
  <si>
    <t>Upfront a la Promesa</t>
  </si>
  <si>
    <t>Aporte Inmobiliaria</t>
  </si>
  <si>
    <t>Plan de pago</t>
  </si>
  <si>
    <t>Valor</t>
  </si>
  <si>
    <t>Pie Pendiente</t>
  </si>
  <si>
    <t>Valor por Cuota</t>
  </si>
  <si>
    <t>Crédito Hipotecario</t>
  </si>
  <si>
    <t>Plazo en años</t>
  </si>
  <si>
    <t>Años</t>
  </si>
  <si>
    <t>CAE</t>
  </si>
  <si>
    <t>Cuota crédito Hipotecario</t>
  </si>
  <si>
    <t xml:space="preserve">Cuota crédito Hipotecario </t>
  </si>
  <si>
    <t>Flujo</t>
  </si>
  <si>
    <t>Arriendo</t>
  </si>
  <si>
    <t>A 5 años</t>
  </si>
  <si>
    <t>Flujo Acumulado</t>
  </si>
  <si>
    <t>Crédito Hipotecario Amortizado</t>
  </si>
  <si>
    <t>Pie Pagado</t>
  </si>
  <si>
    <t>Plusvalía Anual</t>
  </si>
  <si>
    <t>Plusvalía Acumulada</t>
  </si>
  <si>
    <t>Precio Venta año 5 - Deuda Hipotecaria</t>
  </si>
  <si>
    <t>Total Invertido</t>
  </si>
  <si>
    <t>Ganancia</t>
  </si>
  <si>
    <t>ROI a 5 Años</t>
  </si>
  <si>
    <t>ROI Anual</t>
  </si>
  <si>
    <t>Caprate</t>
  </si>
  <si>
    <t>** Esta cotización y su información es de responsabilidad del broker que la emite. VIVEPROP no se hace responsable por la información aquí expresada. **</t>
  </si>
  <si>
    <t>EDIFICIO BRIONES LUCO</t>
  </si>
  <si>
    <t>EDIFICIO LEON PRADO</t>
  </si>
  <si>
    <t>PROYECTO</t>
  </si>
  <si>
    <t>ENTREGA</t>
  </si>
  <si>
    <t>Precio Lista</t>
  </si>
  <si>
    <t>Descuento</t>
  </si>
  <si>
    <t>Precio con Descuento</t>
  </si>
  <si>
    <t>Pie</t>
  </si>
  <si>
    <t>Credito Hipotecario aprox</t>
  </si>
  <si>
    <t>Precio escritura</t>
  </si>
  <si>
    <t>CHECK LIST PARA VB DE PROMESAS MAESTRA BROKERS</t>
  </si>
  <si>
    <t>Descuento Base</t>
  </si>
  <si>
    <t>Dcto Adicional</t>
  </si>
  <si>
    <t>Giftcard</t>
  </si>
  <si>
    <t>Upfront</t>
  </si>
  <si>
    <t>Pie en cuotas</t>
  </si>
  <si>
    <t>UPAGO Cuotas</t>
  </si>
  <si>
    <t>Cuota desde</t>
  </si>
  <si>
    <t>Certificado Pago</t>
  </si>
  <si>
    <t>Mutuo UPAGO</t>
  </si>
  <si>
    <t>RAZÓN SOCIAL</t>
  </si>
  <si>
    <t>RUT</t>
  </si>
  <si>
    <t>Vista Llacolén B2</t>
  </si>
  <si>
    <t>UF 7,0</t>
  </si>
  <si>
    <t>No</t>
  </si>
  <si>
    <t>Vista Reloncaví</t>
  </si>
  <si>
    <t>MAESTRA CONDELL S.A.</t>
  </si>
  <si>
    <t>76113459-0</t>
  </si>
  <si>
    <t>Vista Llacolén A</t>
  </si>
  <si>
    <t>RUT escaneado</t>
  </si>
  <si>
    <t>Jardines de Alvarado</t>
  </si>
  <si>
    <t>MAESTRA DON RODRIGO SPA</t>
  </si>
  <si>
    <t>76416917-4</t>
  </si>
  <si>
    <t xml:space="preserve">PD </t>
  </si>
  <si>
    <t>Reserva Firmada y pagada</t>
  </si>
  <si>
    <t>Liquidaciones de Sueldo</t>
  </si>
  <si>
    <t>Apostol Santiago</t>
  </si>
  <si>
    <t>MAESTRA ENTRE RIOS SPA</t>
  </si>
  <si>
    <t>76411296-2</t>
  </si>
  <si>
    <t>Aprobación de Crédito</t>
  </si>
  <si>
    <t>Cáceres</t>
  </si>
  <si>
    <t>MAESTRA PROYECTOS SPA</t>
  </si>
  <si>
    <t>77274888-4</t>
  </si>
  <si>
    <t>Vistamar</t>
  </si>
  <si>
    <t>Promesa firmada</t>
  </si>
  <si>
    <t>Pre-Aprobación de Crédito + Infocheck Crédito Full</t>
  </si>
  <si>
    <t>Mirador Mapocho</t>
  </si>
  <si>
    <t>Alto Buzeta (MT)</t>
  </si>
  <si>
    <t>Pre-entrega</t>
  </si>
  <si>
    <t>3% 3D</t>
  </si>
  <si>
    <t>Max 10%</t>
  </si>
  <si>
    <t>ENTREGA INMEDIATA</t>
  </si>
  <si>
    <t>ENTREGA FUTURA</t>
  </si>
  <si>
    <t>INVERSIONES IGNACIO SERRANO SPA</t>
  </si>
  <si>
    <t>77956043-0</t>
  </si>
  <si>
    <t>Pintor Cicarelli I (PC I)</t>
  </si>
  <si>
    <t>Mutuo y GOP pagado (si aplica)</t>
  </si>
  <si>
    <t>Mutuo con pago automático Upago</t>
  </si>
  <si>
    <t>Upfront pagado</t>
  </si>
  <si>
    <t>Plaza Quilicura</t>
  </si>
  <si>
    <t>Certificado de Pago (si aplica)</t>
  </si>
  <si>
    <t>Suscripción de pago automático Upago</t>
  </si>
  <si>
    <t>Promoción Firmada (si aplica)</t>
  </si>
  <si>
    <t>Vista Costanera</t>
  </si>
  <si>
    <t>MAESTRA QUILPUE DOS SPA</t>
  </si>
  <si>
    <t>76489618-1</t>
  </si>
  <si>
    <t>EETT firmada</t>
  </si>
  <si>
    <t>MAESTRA SANTA ROSA SPA</t>
  </si>
  <si>
    <t>76409319-4</t>
  </si>
  <si>
    <t>PEP firmado</t>
  </si>
  <si>
    <t>Pie pagado</t>
  </si>
  <si>
    <t>Reserva Contabilizada</t>
  </si>
  <si>
    <t>Plaza Cervantes II</t>
  </si>
  <si>
    <t>Promesa firmada por representantes de Maestra</t>
  </si>
  <si>
    <t>MAESTRA TRAVESIA SPA</t>
  </si>
  <si>
    <t>77700583-9</t>
  </si>
  <si>
    <t>2% 2D (36m2)</t>
  </si>
  <si>
    <t>MAESTRA VISTAMAR SPA</t>
  </si>
  <si>
    <t>77684739-9</t>
  </si>
  <si>
    <t>PINTOR CICARELLI I SPA</t>
  </si>
  <si>
    <t>77684746-1</t>
  </si>
  <si>
    <t>Pago de Reserva Webpay:</t>
  </si>
  <si>
    <t>VISTA LLACOLEN SPA</t>
  </si>
  <si>
    <t>77684759-3</t>
  </si>
  <si>
    <t>2% 3D</t>
  </si>
  <si>
    <t>https://www.webpay.cl/company/32764</t>
  </si>
  <si>
    <t>Portal de Pago UPago:</t>
  </si>
  <si>
    <t>Y excepcionalmente para pago de Pie:</t>
  </si>
  <si>
    <t>https://pay.upago.cl/go/inmobiliaria-maestra</t>
  </si>
  <si>
    <t>https://www.webpay.cl/company/33138</t>
  </si>
  <si>
    <t>TRANSFERENCIA (sólo casos excepcionales)</t>
  </si>
  <si>
    <t>VALE VISTA (sólo casos excepcionales)</t>
  </si>
  <si>
    <t>76.849.520-3</t>
  </si>
  <si>
    <t>MAESTRA S.A.</t>
  </si>
  <si>
    <t>Enviar correo de pago a GERALDINE.SALAS@MAESTRA.CL</t>
  </si>
  <si>
    <t>SCOTIABANK</t>
  </si>
  <si>
    <t>Enviar documento a:</t>
  </si>
  <si>
    <t>CTA CTE 1167294</t>
  </si>
  <si>
    <t>Edificio Work Plaza La Dehesa</t>
  </si>
  <si>
    <t>CANAL.BROKER@maestra.cl</t>
  </si>
  <si>
    <t>Av. La Dehesa N° 222, Torre A, Piso 5, Lo Barnechea</t>
  </si>
  <si>
    <t>PD</t>
  </si>
  <si>
    <t>Proyecto Destacado del mes</t>
  </si>
  <si>
    <t>FECHA</t>
  </si>
  <si>
    <t>D E P T O S.   (ORDENADOS POR FECHA DE ENTREGA):</t>
  </si>
  <si>
    <t xml:space="preserve">Proyecto </t>
  </si>
  <si>
    <t>JV</t>
  </si>
  <si>
    <t>Tipo de entrega</t>
  </si>
  <si>
    <t xml:space="preserve">Valor Reserva </t>
  </si>
  <si>
    <t>% en Cuotas Período de Const.</t>
  </si>
  <si>
    <t>Contra promesa</t>
  </si>
  <si>
    <t>Est min</t>
  </si>
  <si>
    <t>Est max</t>
  </si>
  <si>
    <t>Bod min</t>
  </si>
  <si>
    <t>Bod max</t>
  </si>
  <si>
    <t>Fecha Inicio Escrituración</t>
  </si>
  <si>
    <t>N° Cuotas Período de Construcción</t>
  </si>
  <si>
    <t>Fecha máx pago última cuota</t>
  </si>
  <si>
    <t>Desc adic cierre</t>
  </si>
  <si>
    <t>Observaciones</t>
  </si>
  <si>
    <t>SF</t>
  </si>
  <si>
    <t>N/A</t>
  </si>
  <si>
    <t>Studio</t>
  </si>
  <si>
    <t>AGOTADOS</t>
  </si>
  <si>
    <t>1D+1B</t>
  </si>
  <si>
    <t>ATENTOS SI SE LIBERA ALGUNA UNIDAD RESERVADA</t>
  </si>
  <si>
    <t>1,5D/2B</t>
  </si>
  <si>
    <t>1,5D/2B 2S</t>
  </si>
  <si>
    <t xml:space="preserve"> </t>
  </si>
  <si>
    <t>2D/2B KA</t>
  </si>
  <si>
    <t>PR</t>
  </si>
  <si>
    <t>CREDITU: 5% RESTA 2% DESCTO  // 10% RESTA 4% DESCTO</t>
  </si>
  <si>
    <t>OK</t>
  </si>
  <si>
    <t>VENTA OBLIGADA ESTAC Y BOD</t>
  </si>
  <si>
    <t>ESTACIONAMIENTOS: 10% DESCTO</t>
  </si>
  <si>
    <t>2 AÑOS ARRIENDO GARANTIZADO - resta 2,5% descto</t>
  </si>
  <si>
    <t>2D/2B KC</t>
  </si>
  <si>
    <t>VTA OBLIGADA BODEGA</t>
  </si>
  <si>
    <t>2D/2B 1S MARIP.</t>
  </si>
  <si>
    <t>2D2BDJ</t>
  </si>
  <si>
    <t>2D3BDA</t>
  </si>
  <si>
    <t>(VER DETALLE PRECIOS FINALES EN HOJA ANEXA)</t>
  </si>
  <si>
    <t>1,5D+1B+K</t>
  </si>
  <si>
    <t>2D+1B+K</t>
  </si>
  <si>
    <t>2D+2B+K</t>
  </si>
  <si>
    <t>2S+2B+K</t>
  </si>
  <si>
    <t>GQ</t>
  </si>
  <si>
    <t>1D + 1B</t>
  </si>
  <si>
    <t>2 AÑOS ARRIENDO GARANTIZADO -resta 2,5% descto</t>
  </si>
  <si>
    <t>1,5D / 1B</t>
  </si>
  <si>
    <t>2D / 1B</t>
  </si>
  <si>
    <t>PLAN MAS CUOTAS: HASTA 5% EN 12 DOCUMENTADAS CON PAGARÉ POST ESCRITURA</t>
  </si>
  <si>
    <t>2D/2B KA Grande</t>
  </si>
  <si>
    <t>3D/2B</t>
  </si>
  <si>
    <t>PLAN ESPECIAL PIE 7,5% CONTRA PROMESA - 7,5 CONTRA ESCRITURA 18 C/TC + 5% 12D + 80% CH</t>
  </si>
  <si>
    <t>AZOTEAS</t>
  </si>
  <si>
    <t>DESCTOS MAX DIFERENCIADOS SEGÚN PROMOCIONES:</t>
  </si>
  <si>
    <t>2D/2B + SE</t>
  </si>
  <si>
    <t>3D/3B</t>
  </si>
  <si>
    <t>2D con azotea</t>
  </si>
  <si>
    <t>3D con azotea</t>
  </si>
  <si>
    <t>1,5D+2B+K</t>
  </si>
  <si>
    <t>1,5D/ 1B</t>
  </si>
  <si>
    <t>PROXIMA ENTREGA</t>
  </si>
  <si>
    <t>1era cuota</t>
  </si>
  <si>
    <t>BONO PIE 10% - ASOCIADO A FIRMA PAGARÉ</t>
  </si>
  <si>
    <t>Futura</t>
  </si>
  <si>
    <t>Desde 7%</t>
  </si>
  <si>
    <t>Desde 8%</t>
  </si>
  <si>
    <t>Oficinas</t>
  </si>
  <si>
    <t>PLAN PAGO PIE OFIC: 15% EN CUOTAS - 10% C/E  - 75% Cfines Grales // TODA POSIBLE EXCEPCION DEBE SER LEVANTADA</t>
  </si>
  <si>
    <t xml:space="preserve">Locales </t>
  </si>
  <si>
    <t>4to TRIMESTRE 2027</t>
  </si>
  <si>
    <t>1,5D/2B 1S</t>
  </si>
  <si>
    <t>ok</t>
  </si>
  <si>
    <t>2D/2B 2S KI</t>
  </si>
  <si>
    <t>2D/2B 2S KI TS (azotea)</t>
  </si>
  <si>
    <t>2D/2B 2S TS  (azotea)</t>
  </si>
  <si>
    <t>1,5D/1B TS (azotea)</t>
  </si>
  <si>
    <t>2D/2B 1S TS (azotea)</t>
  </si>
  <si>
    <t>1,5D/2B 1S TS (azotea)</t>
  </si>
  <si>
    <t>4to Trimestre 2027</t>
  </si>
  <si>
    <t>PROMOCIÓN 1 AÑO DE GASTOS COMUNES GRATIS - NO RESTA DESCTO - REVISAR VALORES QUE APLICAN</t>
  </si>
  <si>
    <t>1er Trimestre 2028</t>
  </si>
  <si>
    <t xml:space="preserve">1,5D/1B </t>
  </si>
  <si>
    <t xml:space="preserve">1.5D/2B </t>
  </si>
  <si>
    <t>2D/2B incluye palier</t>
  </si>
  <si>
    <t xml:space="preserve">LOCALES </t>
  </si>
  <si>
    <t>PLAN PAGO PIE LOCALES: 5% CP 15% EN CUOTAS - 5% C/E  - 75% CRED F Grales</t>
  </si>
  <si>
    <t>4 CUPOS ESTAC PARA DEPTOS 2D1B // 4 CUPOS BODEGA PARA DEPT 1D1B</t>
  </si>
  <si>
    <t>Desde 10%</t>
  </si>
  <si>
    <t xml:space="preserve"> cuotas TOKU / ó 24 cuotas sin interés tarejta crédito (max 20% del precio)  </t>
  </si>
  <si>
    <t>PLAN ESPECIAL DE PAGO 10% EN    CUOTAS - LAS PRIMERAS    CUOTAS CON TOKU + 24 C/TC A LA ESCRITURA  + 10% 24D + 80% CREDITO</t>
  </si>
  <si>
    <t>PEND ACTUALIZACION CONDICIONES</t>
  </si>
  <si>
    <t>1,5D / 2B</t>
  </si>
  <si>
    <t>1,5D / 2B 2S</t>
  </si>
  <si>
    <t>2D / 2B 1S</t>
  </si>
  <si>
    <t>NUEVO PROYECTO</t>
  </si>
  <si>
    <t>C A S A S:</t>
  </si>
  <si>
    <t xml:space="preserve">D - Chilena </t>
  </si>
  <si>
    <t>D - Mediterránea</t>
  </si>
  <si>
    <t xml:space="preserve">C - Chilena </t>
  </si>
  <si>
    <t>PLAN ESPECIAL PIE EN 21 CUOTAS: 3 + 18 c/ TC</t>
  </si>
  <si>
    <t>C - Mediterránea</t>
  </si>
  <si>
    <t xml:space="preserve">E - Chilena </t>
  </si>
  <si>
    <t>E - Mediterránea</t>
  </si>
  <si>
    <t xml:space="preserve">G - Chilena </t>
  </si>
  <si>
    <t>G - Mediterránea</t>
  </si>
  <si>
    <t>ZONA</t>
  </si>
  <si>
    <t>Alto Marañon 3</t>
  </si>
  <si>
    <t>Aprobación</t>
  </si>
  <si>
    <t>Edificio Coronel Souper</t>
  </si>
  <si>
    <t>Edificio Trinidad Ramirez</t>
  </si>
  <si>
    <t>Condominio Parque del Sur torre A</t>
  </si>
  <si>
    <t>Edificio Castillo Urizar</t>
  </si>
  <si>
    <t>Edificio Guillermo Mann</t>
  </si>
  <si>
    <t>Pre Aprobación</t>
  </si>
  <si>
    <t>54 (18+36)</t>
  </si>
  <si>
    <t>Edificio Lia Aguirre</t>
  </si>
  <si>
    <t>Edificio Pedro de la Barra</t>
  </si>
  <si>
    <t>NO ACUMULABLES ENTRE SI</t>
  </si>
  <si>
    <t>ETAPA</t>
  </si>
  <si>
    <t>GOP GRATIS</t>
  </si>
  <si>
    <t>SI</t>
  </si>
  <si>
    <t>TOPE DIVIDENDO</t>
  </si>
  <si>
    <t>Iquique</t>
  </si>
  <si>
    <t>Edificio Lynch (deptos.)</t>
  </si>
  <si>
    <t>Edificio Lynch (oficinas y locales)</t>
  </si>
  <si>
    <t>Edificio Latorre</t>
  </si>
  <si>
    <t>V Región</t>
  </si>
  <si>
    <t>Concón</t>
  </si>
  <si>
    <t>Edificio Lía Aguirre</t>
  </si>
  <si>
    <t>Condominio Jorge Cáceres 2</t>
  </si>
  <si>
    <t>Edificio Briones Luco</t>
  </si>
  <si>
    <t>VALORIZACIÓN 24 DIVIDENDOS $</t>
  </si>
  <si>
    <t>Valor Final Unidad x 0,1 x UF del día</t>
  </si>
  <si>
    <t>Valor final unidad (incluye secundarios): 2.190 UF</t>
  </si>
  <si>
    <t>Valor UF del día: $39.000</t>
  </si>
  <si>
    <t>219 UF x 39.000 = 8.541.000</t>
  </si>
  <si>
    <t>Valorización 24 dividendos = $8.541.000</t>
  </si>
  <si>
    <t>Condominio Jorge Cáceres Etapa 2</t>
  </si>
  <si>
    <t>TOPE MENSUAL 24 DIVIDENDOS $</t>
  </si>
  <si>
    <t>Valorización 24 dividendos: $8.541.000</t>
  </si>
  <si>
    <t>8.541.000 ÷ 24 meses = 355.875</t>
  </si>
  <si>
    <t>Comuna</t>
  </si>
  <si>
    <t>Programa</t>
  </si>
  <si>
    <t>Superficie Comercial</t>
  </si>
  <si>
    <t>EDIFICIO LATORRE</t>
  </si>
  <si>
    <t>2D/2B/CK/3C</t>
  </si>
  <si>
    <t>3D/2B/CK/5C</t>
  </si>
  <si>
    <t>EDIFICIO LYNCH</t>
  </si>
  <si>
    <t>EDIFICIO VISTA HORIZONTE</t>
  </si>
  <si>
    <t>BLANCA ESTELA I TORRE A y B</t>
  </si>
  <si>
    <t>ALTO MIRADOR</t>
  </si>
  <si>
    <t>2D/2B/CC/4C</t>
  </si>
  <si>
    <t>PARQUES DEL SUR</t>
  </si>
  <si>
    <t>CONDOMINIO MANUEL JESUS RIVERA 2</t>
  </si>
  <si>
    <t>CONDOMINIO PALMAS DEL SUR II</t>
  </si>
  <si>
    <t>Estado</t>
  </si>
  <si>
    <t>Pre/Aprobación bancaria</t>
  </si>
  <si>
    <t>Monto Reserva</t>
  </si>
  <si>
    <t>Pie minimo %</t>
  </si>
  <si>
    <t>Cuotas</t>
  </si>
  <si>
    <t>Monto Contra promesa</t>
  </si>
  <si>
    <t>Forma de pago cuotas</t>
  </si>
  <si>
    <t>Fecha máxima de pago pie</t>
  </si>
  <si>
    <t>Condición Estacionamientos</t>
  </si>
  <si>
    <t>Condición Bodegas</t>
  </si>
  <si>
    <t>Descuento autorizado</t>
  </si>
  <si>
    <t>La Reserva</t>
  </si>
  <si>
    <t>90 UF</t>
  </si>
  <si>
    <t>No posee</t>
  </si>
  <si>
    <t>No obligatorio</t>
  </si>
  <si>
    <t>Ninguno</t>
  </si>
  <si>
    <t>Play</t>
  </si>
  <si>
    <t>UF 50</t>
  </si>
  <si>
    <t>Obligatorio (Excepción para estudio y 1D+1B)</t>
  </si>
  <si>
    <t>Pago del pie se debe pagar antes de la firma de escritura</t>
  </si>
  <si>
    <t>Fam</t>
  </si>
  <si>
    <t>Obligatorio</t>
  </si>
  <si>
    <t>20% deptos y est.</t>
  </si>
  <si>
    <t>Line</t>
  </si>
  <si>
    <t>Modelo C Obligatorio</t>
  </si>
  <si>
    <t>15% deptos</t>
  </si>
  <si>
    <t>Mind</t>
  </si>
  <si>
    <t>PDA Torre Poniente</t>
  </si>
  <si>
    <t>Venta en Verde</t>
  </si>
  <si>
    <t>Preaprobación</t>
  </si>
  <si>
    <t>Pago de la primera cuota</t>
  </si>
  <si>
    <t>PDA Torre Oriente</t>
  </si>
  <si>
    <t>Se puede pagar en 8% en cuotas y 7% de pie en cuotón</t>
  </si>
  <si>
    <t>Fecha Escrituración Aprox.</t>
  </si>
  <si>
    <t>Dcto. Depto.</t>
  </si>
  <si>
    <t>Aporte Inmobiliario</t>
  </si>
  <si>
    <t>Pie (Cuoton)</t>
  </si>
  <si>
    <t>Productos Secundarios</t>
  </si>
  <si>
    <t>Información adicional</t>
  </si>
  <si>
    <t>Santa Isabel (STI)</t>
  </si>
  <si>
    <t>Entrega inmediata</t>
  </si>
  <si>
    <t>1er arriendo sin comisión de corretaje o 3 meses de administración asegurada contratando plan black por 18 meses</t>
  </si>
  <si>
    <t>Vicuña Mackenna 1796 (ÑUB)</t>
  </si>
  <si>
    <t>Santa Rosa (SRO)</t>
  </si>
  <si>
    <t>Tocornal (TOC)</t>
  </si>
  <si>
    <t>Santos Ossa (OSSA)</t>
  </si>
  <si>
    <t>Los Alerces (ALE)</t>
  </si>
  <si>
    <t>Bellavista (BEL)</t>
  </si>
  <si>
    <t>Froilan Roa (ROA)</t>
  </si>
  <si>
    <t>Centenario I (FRK)</t>
  </si>
  <si>
    <t>Valle los Ingleses (ING)</t>
  </si>
  <si>
    <t>No aplica a beneficios DFL2</t>
  </si>
  <si>
    <t>Vespucio Capital (VESP)</t>
  </si>
  <si>
    <t>Vivaceta (VTA)</t>
  </si>
  <si>
    <t>Crédito en hasta 36 cuotas</t>
  </si>
  <si>
    <t>Vicuña Mackenna 7589 I y II (VIC) (VIC2)</t>
  </si>
  <si>
    <t>Diagonal Paraguay (DP)</t>
  </si>
  <si>
    <t>Abdón Cifuentes (ABD)</t>
  </si>
  <si>
    <t>Don Ignacio (DOM)</t>
  </si>
  <si>
    <t>Los Lilenes (LEN)</t>
  </si>
  <si>
    <t>Coronel Godoy (GOD)</t>
  </si>
  <si>
    <t>Crédito en hasta 12 cuotas</t>
  </si>
  <si>
    <t>Nueva Esmeralda (NES)</t>
  </si>
  <si>
    <t>Crédito en hasta 24 cuotas</t>
  </si>
  <si>
    <t>Brasil (BRA)</t>
  </si>
  <si>
    <t>Terrazzo (TER)</t>
  </si>
  <si>
    <t>El Aromo (ARO)</t>
  </si>
  <si>
    <t>Matta (MAT)</t>
  </si>
  <si>
    <t>Notas</t>
  </si>
  <si>
    <t>1.- Cuotas pie periodo construccion: cuotas dependen del inicio de escrituración del proyecto.</t>
  </si>
  <si>
    <t>2.- Pago de reserva: se abona al pie periodo de construcción.</t>
  </si>
  <si>
    <t>3.- Pie periodo construcción = Saldo del Precio de venta - Credito Hipotecario - Bono pie - Pie cuoton o Credito directo.-</t>
  </si>
  <si>
    <t>4.- Pie cuoton: pago contado, o con tarjeta de credito en 18 cuotas sin intereses.</t>
  </si>
  <si>
    <t>5.- Aporte Inmobiliario: se aplica sobre el valor de la unidad principal, aplicado el Dcto., no al monto total que incluya secundarios.</t>
  </si>
  <si>
    <t>6.- Cuotas totales: disponibles por inmobiliaria, sumando periodo de construcción + post escrituración.</t>
  </si>
  <si>
    <t>7.- Cuotas del credito sin intereses: dependeran de las condiciones comerciales.-</t>
  </si>
  <si>
    <t>8.- En caso de no calificar al credito sin intereses, el % se suma al Pie (cuoton).</t>
  </si>
  <si>
    <t>9.- En caso de un mayor financiamiento de crédito hipotecario, se descuenta del cuoton o del credito sin intereses, no del pie en periodo de construcción.</t>
  </si>
  <si>
    <t>10.- En caso de un menor financiamiento de crédito hipotecario, se debe pagar el saldo al cuoton, no agregando el monto a pie crédito sin intereses.</t>
  </si>
  <si>
    <t>11.- Pronto Pago, descuento adicional por pago al contado, se calcula sobre el monto en UF que entrega cliente como primera cuota y el % de pronto pago según proyecto.</t>
  </si>
  <si>
    <t>12.- La reservas de entraga futura duran un máximo de 30 días en sistema y las de entrega inmediata 45 días.</t>
  </si>
  <si>
    <t>13.- Todos los precios se actualizan los días lunes AM. Es responsabilidad de cada broker y/o asesor actualizar los precios en los sistemas que manejen</t>
  </si>
  <si>
    <t>14.- Al momento de reservar una unidad, se debe enviar al menos la cédula de identidad y el plan de pagos en un plazo no superior a 7 días corridos o la reserva se cae automáticamente</t>
  </si>
  <si>
    <t>15.- Las devoluciones de reservas pueden tardar hasta 60 días hábiles</t>
  </si>
  <si>
    <t>Lanzamiento</t>
  </si>
  <si>
    <t>Departamentos por piso</t>
  </si>
  <si>
    <t>Estacionamientos</t>
  </si>
  <si>
    <t>Bodegas</t>
  </si>
  <si>
    <t>Ascensores</t>
  </si>
  <si>
    <t>Gasto común aproximado</t>
  </si>
  <si>
    <t>$2.200 x m2 aprox</t>
  </si>
  <si>
    <t>$2,100 x m2 aprox</t>
  </si>
  <si>
    <t>$1,800 x m2 aprox</t>
  </si>
  <si>
    <t>$1,750 x m2 aprox</t>
  </si>
  <si>
    <t>Condiciones ABRIL 2026</t>
  </si>
  <si>
    <t>-</t>
  </si>
  <si>
    <t>2% SurOriente</t>
  </si>
  <si>
    <t>Distrito Centro</t>
  </si>
  <si>
    <t>Chillán</t>
  </si>
  <si>
    <t>GOP</t>
  </si>
  <si>
    <t>Creditú</t>
  </si>
  <si>
    <t>3% 1D</t>
  </si>
  <si>
    <t>PARA TODAS LAS VENTAS APLICA CERTIFICADO DE PAGO DE 10% (Bono Pie)</t>
  </si>
  <si>
    <r>
      <t xml:space="preserve">Recordar que </t>
    </r>
    <r>
      <rPr>
        <b/>
        <sz val="11"/>
        <color theme="1"/>
        <rFont val="Arial"/>
        <family val="2"/>
        <scheme val="minor"/>
      </rPr>
      <t>la cuota mínima</t>
    </r>
    <r>
      <rPr>
        <sz val="10"/>
        <color rgb="FF000000"/>
        <rFont val="Arial"/>
        <scheme val="minor"/>
      </rPr>
      <t xml:space="preserve"> en todos los casos para Proyectos de </t>
    </r>
    <r>
      <rPr>
        <b/>
        <sz val="11"/>
        <color theme="1"/>
        <rFont val="Arial"/>
        <family val="2"/>
        <scheme val="minor"/>
      </rPr>
      <t>Entrega Futura es de UF 7</t>
    </r>
  </si>
  <si>
    <r>
      <rPr>
        <b/>
        <sz val="11"/>
        <color theme="1"/>
        <rFont val="Arial"/>
        <family val="2"/>
        <scheme val="minor"/>
      </rPr>
      <t>Promoción Entrega Inmediata</t>
    </r>
    <r>
      <rPr>
        <sz val="10"/>
        <color rgb="FF000000"/>
        <rFont val="Arial"/>
        <scheme val="minor"/>
      </rPr>
      <t xml:space="preserve">:  Devolución de $800.000 por concepto de Gastos Operacionales </t>
    </r>
    <r>
      <rPr>
        <b/>
        <sz val="11"/>
        <color theme="1"/>
        <rFont val="Arial"/>
        <family val="2"/>
        <scheme val="minor"/>
      </rPr>
      <t>ó</t>
    </r>
    <r>
      <rPr>
        <sz val="10"/>
        <color rgb="FF000000"/>
        <rFont val="Arial"/>
        <scheme val="minor"/>
      </rPr>
      <t xml:space="preserve"> pago de Gastos Comunes (Efectivo 30 días post CBR).</t>
    </r>
  </si>
  <si>
    <r>
      <rPr>
        <b/>
        <sz val="11"/>
        <color theme="1"/>
        <rFont val="Arial"/>
        <family val="2"/>
        <scheme val="minor"/>
      </rPr>
      <t>Jardines de Alvarado</t>
    </r>
    <r>
      <rPr>
        <sz val="10"/>
        <color rgb="FF000000"/>
        <rFont val="Arial"/>
        <scheme val="minor"/>
      </rPr>
      <t xml:space="preserve">: Bajan los estacionamientos!! </t>
    </r>
    <r>
      <rPr>
        <b/>
        <sz val="11"/>
        <color theme="1"/>
        <rFont val="Arial"/>
        <family val="2"/>
        <scheme val="minor"/>
      </rPr>
      <t>2 x UF 400</t>
    </r>
    <r>
      <rPr>
        <sz val="10"/>
        <color rgb="FF000000"/>
        <rFont val="Arial"/>
        <scheme val="minor"/>
      </rPr>
      <t xml:space="preserve"> | </t>
    </r>
    <r>
      <rPr>
        <b/>
        <sz val="11"/>
        <color theme="1"/>
        <rFont val="Arial"/>
        <family val="2"/>
        <scheme val="minor"/>
      </rPr>
      <t>1 x UF 250</t>
    </r>
  </si>
  <si>
    <r>
      <rPr>
        <b/>
        <sz val="11"/>
        <color theme="1"/>
        <rFont val="Arial"/>
        <family val="2"/>
        <scheme val="minor"/>
      </rPr>
      <t>Plaza Quilicura</t>
    </r>
    <r>
      <rPr>
        <sz val="10"/>
        <color rgb="FF000000"/>
        <rFont val="Arial"/>
        <scheme val="minor"/>
      </rPr>
      <t xml:space="preserve">: Se deben vender todos los departamentos con estacionamiento de manera obligatoria; </t>
    </r>
    <r>
      <rPr>
        <b/>
        <sz val="11"/>
        <color theme="1"/>
        <rFont val="Arial"/>
        <family val="2"/>
        <scheme val="minor"/>
      </rPr>
      <t>Estacionamientos bajan a UF 250</t>
    </r>
    <r>
      <rPr>
        <sz val="10"/>
        <color rgb="FF000000"/>
        <rFont val="Arial"/>
        <scheme val="minor"/>
      </rPr>
      <t xml:space="preserve"> (Precio anterior UF 290)</t>
    </r>
  </si>
  <si>
    <r>
      <rPr>
        <b/>
        <sz val="11"/>
        <color theme="1"/>
        <rFont val="Arial"/>
        <family val="2"/>
        <scheme val="minor"/>
      </rPr>
      <t>Nominativo</t>
    </r>
    <r>
      <rPr>
        <sz val="10"/>
        <color rgb="FF000000"/>
        <rFont val="Arial"/>
        <scheme val="minor"/>
      </rPr>
      <t xml:space="preserve"> a nombre y RUT de la SpA del Proyecto</t>
    </r>
  </si>
  <si>
    <r>
      <rPr>
        <b/>
        <sz val="11"/>
        <color theme="1"/>
        <rFont val="Arial"/>
        <family val="2"/>
        <scheme val="minor"/>
      </rPr>
      <t>Vista Costanera</t>
    </r>
    <r>
      <rPr>
        <sz val="10"/>
        <color rgb="FF000000"/>
        <rFont val="Arial"/>
        <scheme val="minor"/>
      </rPr>
      <t xml:space="preserve">: Bajan los estacionamientos a </t>
    </r>
    <r>
      <rPr>
        <b/>
        <sz val="11"/>
        <color theme="1"/>
        <rFont val="Arial"/>
        <family val="2"/>
        <scheme val="minor"/>
      </rPr>
      <t>2 x UF 500</t>
    </r>
  </si>
  <si>
    <r>
      <rPr>
        <u/>
        <sz val="11"/>
        <color theme="1"/>
        <rFont val="Arial"/>
        <family val="2"/>
        <scheme val="minor"/>
      </rPr>
      <t>Promoción</t>
    </r>
    <r>
      <rPr>
        <sz val="10"/>
        <color rgb="FF000000"/>
        <rFont val="Arial"/>
        <scheme val="minor"/>
      </rPr>
      <t xml:space="preserve"> </t>
    </r>
    <r>
      <rPr>
        <b/>
        <sz val="11"/>
        <color theme="1"/>
        <rFont val="Arial"/>
        <family val="2"/>
        <scheme val="minor"/>
      </rPr>
      <t>Arriendo Garantizado</t>
    </r>
    <r>
      <rPr>
        <sz val="10"/>
        <color rgb="FF000000"/>
        <rFont val="Arial"/>
        <scheme val="minor"/>
      </rPr>
      <t xml:space="preserve"> (gestionado por Assetplan):</t>
    </r>
  </si>
  <si>
    <r>
      <rPr>
        <b/>
        <sz val="11"/>
        <color theme="1"/>
        <rFont val="Arial"/>
        <family val="2"/>
        <scheme val="minor"/>
      </rPr>
      <t>Jardines de Alvarado</t>
    </r>
    <r>
      <rPr>
        <sz val="10"/>
        <color rgb="FF000000"/>
        <rFont val="Arial"/>
        <scheme val="minor"/>
      </rPr>
      <t>: solo tipología 3D1B (con descuento máximo de venta de 10%)</t>
    </r>
  </si>
  <si>
    <r>
      <rPr>
        <b/>
        <sz val="11"/>
        <color theme="1"/>
        <rFont val="Arial"/>
        <family val="2"/>
        <scheme val="minor"/>
      </rPr>
      <t>Mirador Mapocho</t>
    </r>
    <r>
      <rPr>
        <sz val="10"/>
        <color rgb="FF000000"/>
        <rFont val="Arial"/>
        <scheme val="minor"/>
      </rPr>
      <t>: solo tipología 1D1B (con descuento máximo de venta de 10%)</t>
    </r>
  </si>
  <si>
    <r>
      <rPr>
        <b/>
        <sz val="11"/>
        <color theme="1"/>
        <rFont val="Arial"/>
        <family val="2"/>
        <scheme val="minor"/>
      </rPr>
      <t>Pintor Cicarelli I</t>
    </r>
    <r>
      <rPr>
        <sz val="10"/>
        <color rgb="FF000000"/>
        <rFont val="Arial"/>
        <scheme val="minor"/>
      </rPr>
      <t>: solo tipología 3D1B (con descuento máximo de venta de 10%)</t>
    </r>
  </si>
  <si>
    <r>
      <rPr>
        <u/>
        <sz val="11"/>
        <color theme="1"/>
        <rFont val="Arial"/>
        <family val="2"/>
        <scheme val="minor"/>
      </rPr>
      <t>Promoción</t>
    </r>
    <r>
      <rPr>
        <sz val="10"/>
        <color rgb="FF000000"/>
        <rFont val="Arial"/>
        <scheme val="minor"/>
      </rPr>
      <t xml:space="preserve"> </t>
    </r>
    <r>
      <rPr>
        <b/>
        <sz val="11"/>
        <color theme="1"/>
        <rFont val="Arial"/>
        <family val="2"/>
        <scheme val="minor"/>
      </rPr>
      <t xml:space="preserve">Arrendatario Incluido </t>
    </r>
    <r>
      <rPr>
        <sz val="10"/>
        <color rgb="FF000000"/>
        <rFont val="Arial"/>
        <scheme val="minor"/>
      </rPr>
      <t>(gestionado por Assetplan): 50% de descuento en el costo de administración por 1 años (3,5%)</t>
    </r>
  </si>
  <si>
    <t>FECHA INGRESO CARPETA RECEPCIÓN MUNICIPAL</t>
  </si>
  <si>
    <t>RM</t>
  </si>
  <si>
    <t>Impuesto Mutuo</t>
  </si>
  <si>
    <t>Vivienda Social</t>
  </si>
  <si>
    <t>Alto Buzeta</t>
  </si>
  <si>
    <t>CONDICIONES DE VENTA CONSOLIDADAS    N°98 v1</t>
  </si>
  <si>
    <t>08-04-2026 al 30-04-2026</t>
  </si>
  <si>
    <t xml:space="preserve">Desc Maximo </t>
  </si>
  <si>
    <r>
      <rPr>
        <b/>
        <sz val="11"/>
        <color theme="1"/>
        <rFont val="Arial"/>
        <family val="2"/>
        <scheme val="minor"/>
      </rPr>
      <t>GREEN CONCEPT VM</t>
    </r>
    <r>
      <rPr>
        <sz val="10"/>
        <color rgb="FF000000"/>
        <rFont val="Arial"/>
        <scheme val="minor"/>
      </rPr>
      <t>, Stgo</t>
    </r>
    <r>
      <rPr>
        <b/>
        <sz val="11"/>
        <color theme="1"/>
        <rFont val="Arial"/>
        <family val="2"/>
        <scheme val="minor"/>
      </rPr>
      <t xml:space="preserve"> (DEISA)</t>
    </r>
  </si>
  <si>
    <r>
      <rPr>
        <b/>
        <sz val="11"/>
        <color theme="1"/>
        <rFont val="Arial"/>
        <family val="2"/>
        <scheme val="minor"/>
      </rPr>
      <t xml:space="preserve">1 a 3 </t>
    </r>
    <r>
      <rPr>
        <sz val="10"/>
        <color rgb="FF000000"/>
        <rFont val="Arial"/>
        <scheme val="minor"/>
      </rPr>
      <t>cuotas doc  /</t>
    </r>
    <r>
      <rPr>
        <b/>
        <sz val="11"/>
        <color theme="1"/>
        <rFont val="Arial"/>
        <family val="2"/>
        <scheme val="minor"/>
      </rPr>
      <t xml:space="preserve"> ó 18 </t>
    </r>
    <r>
      <rPr>
        <sz val="10"/>
        <color rgb="FF000000"/>
        <rFont val="Arial"/>
        <scheme val="minor"/>
      </rPr>
      <t>cuotas sin interés tarjeta crédito</t>
    </r>
    <r>
      <rPr>
        <b/>
        <sz val="11"/>
        <color theme="1"/>
        <rFont val="Arial"/>
        <family val="2"/>
        <scheme val="minor"/>
      </rPr>
      <t xml:space="preserve"> (máx 20% del precio)</t>
    </r>
  </si>
  <si>
    <r>
      <rPr>
        <b/>
        <sz val="11"/>
        <color theme="1"/>
        <rFont val="Arial"/>
        <family val="2"/>
        <scheme val="minor"/>
      </rPr>
      <t>STATUS</t>
    </r>
    <r>
      <rPr>
        <sz val="10"/>
        <color rgb="FF000000"/>
        <rFont val="Arial"/>
        <scheme val="minor"/>
      </rPr>
      <t xml:space="preserve">, Stgo. Centro </t>
    </r>
    <r>
      <rPr>
        <b/>
        <sz val="11"/>
        <color theme="1"/>
        <rFont val="Arial"/>
        <family val="2"/>
        <scheme val="minor"/>
      </rPr>
      <t>(SANTOLAYA)</t>
    </r>
  </si>
  <si>
    <r>
      <rPr>
        <b/>
        <sz val="11"/>
        <color theme="1"/>
        <rFont val="Arial"/>
        <family val="2"/>
        <scheme val="minor"/>
      </rPr>
      <t xml:space="preserve">1 a 3 </t>
    </r>
    <r>
      <rPr>
        <sz val="10"/>
        <color rgb="FF000000"/>
        <rFont val="Arial"/>
        <scheme val="minor"/>
      </rPr>
      <t xml:space="preserve">cuotas </t>
    </r>
    <r>
      <rPr>
        <b/>
        <sz val="11"/>
        <color theme="1"/>
        <rFont val="Arial"/>
        <family val="2"/>
        <scheme val="minor"/>
      </rPr>
      <t>TOKU</t>
    </r>
    <r>
      <rPr>
        <sz val="10"/>
        <color rgb="FF000000"/>
        <rFont val="Arial"/>
        <scheme val="minor"/>
      </rPr>
      <t xml:space="preserve"> / ó </t>
    </r>
    <r>
      <rPr>
        <b/>
        <sz val="11"/>
        <color theme="1"/>
        <rFont val="Arial"/>
        <family val="2"/>
        <scheme val="minor"/>
      </rPr>
      <t>18</t>
    </r>
    <r>
      <rPr>
        <sz val="10"/>
        <color rgb="FF000000"/>
        <rFont val="Arial"/>
        <scheme val="minor"/>
      </rPr>
      <t xml:space="preserve"> cuotas sin interés tarjeta crédito (</t>
    </r>
    <r>
      <rPr>
        <b/>
        <sz val="11"/>
        <color theme="1"/>
        <rFont val="Arial"/>
        <family val="2"/>
        <scheme val="minor"/>
      </rPr>
      <t>máx 20% del precio)</t>
    </r>
  </si>
  <si>
    <t>PROMOCION 24D (10% BONO PIE Y 36D (15% DE BONO PIE) (sujeto a valor tasación bco)</t>
  </si>
  <si>
    <r>
      <t xml:space="preserve">ULTIMOS DEPTOS DISP: </t>
    </r>
    <r>
      <rPr>
        <b/>
        <sz val="11"/>
        <color rgb="FFFF0000"/>
        <rFont val="Arial"/>
        <family val="2"/>
        <scheme val="minor"/>
      </rPr>
      <t>129</t>
    </r>
  </si>
  <si>
    <r>
      <rPr>
        <b/>
        <sz val="11"/>
        <color theme="1"/>
        <rFont val="Arial"/>
        <family val="2"/>
        <scheme val="minor"/>
      </rPr>
      <t>SUEÑA MARIN</t>
    </r>
    <r>
      <rPr>
        <sz val="10"/>
        <color rgb="FF000000"/>
        <rFont val="Arial"/>
        <scheme val="minor"/>
      </rPr>
      <t xml:space="preserve">, Stgo. Centro </t>
    </r>
    <r>
      <rPr>
        <b/>
        <sz val="11"/>
        <color theme="1"/>
        <rFont val="Arial"/>
        <family val="2"/>
        <scheme val="minor"/>
      </rPr>
      <t>(SANTOLAYA)</t>
    </r>
  </si>
  <si>
    <r>
      <rPr>
        <b/>
        <sz val="11"/>
        <color theme="1"/>
        <rFont val="Arial"/>
        <family val="2"/>
        <scheme val="minor"/>
      </rPr>
      <t xml:space="preserve">1 a 3 cuotas TOKU </t>
    </r>
    <r>
      <rPr>
        <sz val="10"/>
        <color rgb="FF000000"/>
        <rFont val="Arial"/>
        <scheme val="minor"/>
      </rPr>
      <t xml:space="preserve">/ ó </t>
    </r>
    <r>
      <rPr>
        <b/>
        <sz val="11"/>
        <color theme="1"/>
        <rFont val="Arial"/>
        <family val="2"/>
        <scheme val="minor"/>
      </rPr>
      <t>18</t>
    </r>
    <r>
      <rPr>
        <sz val="10"/>
        <color rgb="FF000000"/>
        <rFont val="Arial"/>
        <scheme val="minor"/>
      </rPr>
      <t xml:space="preserve"> cuotas sin interés tarjeta crédito (</t>
    </r>
    <r>
      <rPr>
        <b/>
        <sz val="11"/>
        <color theme="1"/>
        <rFont val="Arial"/>
        <family val="2"/>
        <scheme val="minor"/>
      </rPr>
      <t>máx 20% del precio)</t>
    </r>
  </si>
  <si>
    <t>PROMOCION 24D  (10% BONO PIE)</t>
  </si>
  <si>
    <r>
      <t xml:space="preserve">ULTIMOS 2 DEPTOS DISPONIBLES: </t>
    </r>
    <r>
      <rPr>
        <b/>
        <sz val="11"/>
        <color rgb="FFFF0000"/>
        <rFont val="Arial"/>
        <family val="2"/>
        <scheme val="minor"/>
      </rPr>
      <t xml:space="preserve">111 - 820 </t>
    </r>
  </si>
  <si>
    <r>
      <rPr>
        <b/>
        <sz val="11"/>
        <color theme="1"/>
        <rFont val="Arial"/>
        <family val="2"/>
        <scheme val="minor"/>
      </rPr>
      <t>ESPACIO PRIME</t>
    </r>
    <r>
      <rPr>
        <sz val="10"/>
        <color rgb="FF000000"/>
        <rFont val="Arial"/>
        <scheme val="minor"/>
      </rPr>
      <t xml:space="preserve">, San Miguel  </t>
    </r>
    <r>
      <rPr>
        <b/>
        <sz val="11"/>
        <color theme="1"/>
        <rFont val="Arial"/>
        <family val="2"/>
        <scheme val="minor"/>
      </rPr>
      <t>(IKLP - DEISA)</t>
    </r>
  </si>
  <si>
    <r>
      <rPr>
        <b/>
        <sz val="11"/>
        <color theme="1"/>
        <rFont val="Arial"/>
        <family val="2"/>
        <scheme val="minor"/>
      </rPr>
      <t xml:space="preserve">1 a 3 </t>
    </r>
    <r>
      <rPr>
        <sz val="10"/>
        <color rgb="FF000000"/>
        <rFont val="Arial"/>
        <scheme val="minor"/>
      </rPr>
      <t xml:space="preserve">cuotas doc /ó </t>
    </r>
    <r>
      <rPr>
        <b/>
        <sz val="11"/>
        <color theme="1"/>
        <rFont val="Arial"/>
        <family val="2"/>
        <scheme val="minor"/>
      </rPr>
      <t>18</t>
    </r>
    <r>
      <rPr>
        <sz val="10"/>
        <color rgb="FF000000"/>
        <rFont val="Arial"/>
        <scheme val="minor"/>
      </rPr>
      <t xml:space="preserve"> cuotas sin interés tarjeta cred (máx </t>
    </r>
    <r>
      <rPr>
        <b/>
        <sz val="11"/>
        <color theme="1"/>
        <rFont val="Arial"/>
        <family val="2"/>
        <scheme val="minor"/>
      </rPr>
      <t>10%</t>
    </r>
    <r>
      <rPr>
        <sz val="10"/>
        <color rgb="FF000000"/>
        <rFont val="Arial"/>
        <scheme val="minor"/>
      </rPr>
      <t xml:space="preserve"> del precio)</t>
    </r>
  </si>
  <si>
    <t>PROMOCION 24D (10% BONO PIE)</t>
  </si>
  <si>
    <r>
      <t xml:space="preserve">ULTIMOS DEPTOS DISPONIBLE: </t>
    </r>
    <r>
      <rPr>
        <b/>
        <sz val="11"/>
        <color rgb="FFFF0000"/>
        <rFont val="Arial"/>
        <family val="2"/>
        <scheme val="minor"/>
      </rPr>
      <t>106 - 1601</t>
    </r>
  </si>
  <si>
    <r>
      <rPr>
        <b/>
        <sz val="11"/>
        <color theme="1"/>
        <rFont val="Arial"/>
        <family val="2"/>
        <scheme val="minor"/>
      </rPr>
      <t>SUEÑA STA ELISA</t>
    </r>
    <r>
      <rPr>
        <sz val="10"/>
        <color rgb="FF000000"/>
        <rFont val="Arial"/>
        <scheme val="minor"/>
      </rPr>
      <t xml:space="preserve">, La Cisterna </t>
    </r>
    <r>
      <rPr>
        <b/>
        <sz val="11"/>
        <color theme="1"/>
        <rFont val="Arial"/>
        <family val="2"/>
        <scheme val="minor"/>
      </rPr>
      <t>(SANTOLAYA)</t>
    </r>
  </si>
  <si>
    <r>
      <rPr>
        <b/>
        <sz val="11"/>
        <color theme="1"/>
        <rFont val="Arial"/>
        <family val="2"/>
        <scheme val="minor"/>
      </rPr>
      <t xml:space="preserve">1 a 3 </t>
    </r>
    <r>
      <rPr>
        <sz val="10"/>
        <color rgb="FF000000"/>
        <rFont val="Arial"/>
        <scheme val="minor"/>
      </rPr>
      <t>cuotas doc / ó</t>
    </r>
    <r>
      <rPr>
        <b/>
        <sz val="11"/>
        <color theme="1"/>
        <rFont val="Arial"/>
        <family val="2"/>
        <scheme val="minor"/>
      </rPr>
      <t xml:space="preserve"> 18</t>
    </r>
    <r>
      <rPr>
        <sz val="10"/>
        <color rgb="FF000000"/>
        <rFont val="Arial"/>
        <scheme val="minor"/>
      </rPr>
      <t xml:space="preserve"> cuotas sin interés tarjeta crédito (máx</t>
    </r>
    <r>
      <rPr>
        <b/>
        <sz val="11"/>
        <color theme="1"/>
        <rFont val="Arial"/>
        <family val="2"/>
        <scheme val="minor"/>
      </rPr>
      <t xml:space="preserve"> 20%</t>
    </r>
    <r>
      <rPr>
        <sz val="10"/>
        <color rgb="FF000000"/>
        <rFont val="Arial"/>
        <scheme val="minor"/>
      </rPr>
      <t xml:space="preserve"> del precio)</t>
    </r>
  </si>
  <si>
    <r>
      <t xml:space="preserve">PROMOCION 24D Y 36D (sujeto a valor tasación bco) </t>
    </r>
    <r>
      <rPr>
        <b/>
        <sz val="11"/>
        <color rgb="FFFF0000"/>
        <rFont val="Arial"/>
        <family val="2"/>
        <scheme val="minor"/>
      </rPr>
      <t>(24D CUESTA 10% DESCTO, 36D CUESTA 15%)</t>
    </r>
  </si>
  <si>
    <t>UNIDADES AGOTADAS - ATENTOS AL STOCK</t>
  </si>
  <si>
    <r>
      <rPr>
        <b/>
        <sz val="11"/>
        <color theme="1"/>
        <rFont val="Arial"/>
        <family val="2"/>
        <scheme val="minor"/>
      </rPr>
      <t>SUEÑA LINCOYAN</t>
    </r>
    <r>
      <rPr>
        <sz val="10"/>
        <color rgb="FF000000"/>
        <rFont val="Arial"/>
        <scheme val="minor"/>
      </rPr>
      <t xml:space="preserve">, Ñuñoa </t>
    </r>
    <r>
      <rPr>
        <b/>
        <sz val="11"/>
        <color theme="1"/>
        <rFont val="Arial"/>
        <family val="2"/>
        <scheme val="minor"/>
      </rPr>
      <t>(SANTOLAYA)</t>
    </r>
  </si>
  <si>
    <r>
      <rPr>
        <b/>
        <sz val="11"/>
        <color theme="1"/>
        <rFont val="Arial"/>
        <family val="2"/>
        <scheme val="minor"/>
      </rPr>
      <t>1 a 3 cuotas</t>
    </r>
    <r>
      <rPr>
        <sz val="10"/>
        <color rgb="FF000000"/>
        <rFont val="Arial"/>
        <scheme val="minor"/>
      </rPr>
      <t xml:space="preserve"> / ó </t>
    </r>
    <r>
      <rPr>
        <b/>
        <sz val="11"/>
        <color theme="1"/>
        <rFont val="Arial"/>
        <family val="2"/>
        <scheme val="minor"/>
      </rPr>
      <t>18</t>
    </r>
    <r>
      <rPr>
        <sz val="10"/>
        <color rgb="FF000000"/>
        <rFont val="Arial"/>
        <scheme val="minor"/>
      </rPr>
      <t xml:space="preserve"> cuotas sin interés tarjeta crédito </t>
    </r>
    <r>
      <rPr>
        <b/>
        <sz val="11"/>
        <color theme="1"/>
        <rFont val="Arial"/>
        <family val="2"/>
        <scheme val="minor"/>
      </rPr>
      <t>(máx 20% del precio)</t>
    </r>
  </si>
  <si>
    <r>
      <t xml:space="preserve">PROMOCION 24D </t>
    </r>
    <r>
      <rPr>
        <b/>
        <sz val="11"/>
        <color rgb="FFFF0000"/>
        <rFont val="Arial"/>
        <family val="2"/>
        <scheme val="minor"/>
      </rPr>
      <t xml:space="preserve"> </t>
    </r>
  </si>
  <si>
    <r>
      <t xml:space="preserve">ULTIMO DEPTO DISPONIBLE: </t>
    </r>
    <r>
      <rPr>
        <b/>
        <sz val="11"/>
        <color rgb="FFFF0000"/>
        <rFont val="Arial"/>
        <family val="2"/>
        <scheme val="minor"/>
      </rPr>
      <t>110</t>
    </r>
  </si>
  <si>
    <t>OPORTUNIDAD LOCALES DISPONIBLES (CORRESP A SV)</t>
  </si>
  <si>
    <r>
      <rPr>
        <b/>
        <sz val="11"/>
        <color theme="1"/>
        <rFont val="Arial"/>
        <family val="2"/>
        <scheme val="minor"/>
      </rPr>
      <t xml:space="preserve">SUEÑA TOESCA, </t>
    </r>
    <r>
      <rPr>
        <sz val="10"/>
        <color rgb="FF000000"/>
        <rFont val="Arial"/>
        <scheme val="minor"/>
      </rPr>
      <t xml:space="preserve">Stgo </t>
    </r>
    <r>
      <rPr>
        <b/>
        <sz val="11"/>
        <color theme="1"/>
        <rFont val="Arial"/>
        <family val="2"/>
        <scheme val="minor"/>
      </rPr>
      <t>(SANTOLAYA)</t>
    </r>
  </si>
  <si>
    <r>
      <rPr>
        <b/>
        <sz val="11"/>
        <color theme="1"/>
        <rFont val="Arial"/>
        <family val="2"/>
        <scheme val="minor"/>
      </rPr>
      <t>1 a 3 cuotas</t>
    </r>
    <r>
      <rPr>
        <sz val="10"/>
        <color rgb="FF000000"/>
        <rFont val="Arial"/>
        <scheme val="minor"/>
      </rPr>
      <t xml:space="preserve">  / ó </t>
    </r>
    <r>
      <rPr>
        <b/>
        <sz val="11"/>
        <color theme="1"/>
        <rFont val="Arial"/>
        <family val="2"/>
        <scheme val="minor"/>
      </rPr>
      <t>18</t>
    </r>
    <r>
      <rPr>
        <sz val="10"/>
        <color rgb="FF000000"/>
        <rFont val="Arial"/>
        <scheme val="minor"/>
      </rPr>
      <t xml:space="preserve"> cuotas sin interés tarjeta crédito (máx </t>
    </r>
    <r>
      <rPr>
        <b/>
        <sz val="11"/>
        <color theme="1"/>
        <rFont val="Arial"/>
        <family val="2"/>
        <scheme val="minor"/>
      </rPr>
      <t>20%</t>
    </r>
    <r>
      <rPr>
        <sz val="10"/>
        <color rgb="FF000000"/>
        <rFont val="Arial"/>
        <scheme val="minor"/>
      </rPr>
      <t xml:space="preserve"> del precio)</t>
    </r>
  </si>
  <si>
    <t xml:space="preserve">PROMOCION 24D (10% BONO PIE) hasta 48D (20% BONO PIE) (APLICA PARA UNID SEGÚN TASACION)  </t>
  </si>
  <si>
    <r>
      <t xml:space="preserve">NEO FLORIDA III. </t>
    </r>
    <r>
      <rPr>
        <sz val="10"/>
        <color rgb="FF000000"/>
        <rFont val="Arial"/>
        <scheme val="minor"/>
      </rPr>
      <t xml:space="preserve">La florida </t>
    </r>
    <r>
      <rPr>
        <b/>
        <sz val="11"/>
        <color theme="1"/>
        <rFont val="Arial"/>
        <family val="2"/>
        <scheme val="minor"/>
      </rPr>
      <t>(SANTOLAYA)</t>
    </r>
  </si>
  <si>
    <t xml:space="preserve">PROMOCION 24D(10 % BONO PIE  Y 36D 15% BONO PIE) (sujeto a valor tasación bco) </t>
  </si>
  <si>
    <t>VTA OBLIGADA BODEGA y ESTAC</t>
  </si>
  <si>
    <r>
      <rPr>
        <b/>
        <sz val="11"/>
        <color theme="1"/>
        <rFont val="Arial"/>
        <family val="2"/>
        <scheme val="minor"/>
      </rPr>
      <t>CIUDAD LYON</t>
    </r>
    <r>
      <rPr>
        <sz val="10"/>
        <color rgb="FF000000"/>
        <rFont val="Arial"/>
        <scheme val="minor"/>
      </rPr>
      <t>, Providencia</t>
    </r>
    <r>
      <rPr>
        <b/>
        <sz val="11"/>
        <color theme="1"/>
        <rFont val="Arial"/>
        <family val="2"/>
        <scheme val="minor"/>
      </rPr>
      <t xml:space="preserve"> (DEISA)</t>
    </r>
  </si>
  <si>
    <r>
      <t xml:space="preserve">1 cuotas /ó </t>
    </r>
    <r>
      <rPr>
        <b/>
        <sz val="11"/>
        <rFont val="Arial"/>
        <family val="2"/>
        <scheme val="minor"/>
      </rPr>
      <t>18</t>
    </r>
    <r>
      <rPr>
        <sz val="11"/>
        <rFont val="Arial"/>
        <family val="2"/>
        <scheme val="minor"/>
      </rPr>
      <t xml:space="preserve"> cuotas sin interés tarjeta crédito (máx </t>
    </r>
    <r>
      <rPr>
        <b/>
        <sz val="11"/>
        <rFont val="Arial"/>
        <family val="2"/>
        <scheme val="minor"/>
      </rPr>
      <t>20%</t>
    </r>
    <r>
      <rPr>
        <sz val="11"/>
        <rFont val="Arial"/>
        <family val="2"/>
        <scheme val="minor"/>
      </rPr>
      <t xml:space="preserve"> del precio)</t>
    </r>
  </si>
  <si>
    <t xml:space="preserve">PROMOCION 12D </t>
  </si>
  <si>
    <r>
      <t xml:space="preserve">OPORTUNIDAD </t>
    </r>
    <r>
      <rPr>
        <b/>
        <sz val="11"/>
        <color rgb="FFED0000"/>
        <rFont val="Arial"/>
        <family val="2"/>
        <scheme val="minor"/>
      </rPr>
      <t>BX TANDEM UF550</t>
    </r>
  </si>
  <si>
    <t>ULTIMOS 3 DEPTOS DISPONIBLES: 208 - 408 -  708</t>
  </si>
  <si>
    <r>
      <rPr>
        <b/>
        <sz val="12"/>
        <color rgb="FFFF0000"/>
        <rFont val="Arial"/>
        <family val="2"/>
        <scheme val="minor"/>
      </rPr>
      <t>15%</t>
    </r>
    <r>
      <rPr>
        <b/>
        <sz val="12"/>
        <color theme="1"/>
        <rFont val="Arial"/>
        <family val="2"/>
        <scheme val="minor"/>
      </rPr>
      <t>: FULL DESCTO SIN PROMOCIONES</t>
    </r>
  </si>
  <si>
    <r>
      <rPr>
        <b/>
        <sz val="12"/>
        <color rgb="FFFF0000"/>
        <rFont val="Arial"/>
        <family val="2"/>
        <scheme val="minor"/>
      </rPr>
      <t>13,6%:</t>
    </r>
    <r>
      <rPr>
        <b/>
        <sz val="12"/>
        <color theme="1"/>
        <rFont val="Arial"/>
        <family val="2"/>
        <scheme val="minor"/>
      </rPr>
      <t xml:space="preserve"> INCLUYE BONO AMOBLADO - 1D UF90 // 2D UF120</t>
    </r>
  </si>
  <si>
    <r>
      <rPr>
        <b/>
        <sz val="12"/>
        <color rgb="FFFF0000"/>
        <rFont val="Arial"/>
        <family val="2"/>
        <scheme val="minor"/>
      </rPr>
      <t>10,5%</t>
    </r>
    <r>
      <rPr>
        <b/>
        <sz val="12"/>
        <color theme="1"/>
        <rFont val="Arial"/>
        <family val="2"/>
        <scheme val="minor"/>
      </rPr>
      <t>: INCLUYE 12D, SIN BONO AMOBLADO</t>
    </r>
  </si>
  <si>
    <r>
      <rPr>
        <b/>
        <sz val="12"/>
        <color rgb="FFFF0000"/>
        <rFont val="Arial"/>
        <family val="2"/>
        <scheme val="minor"/>
      </rPr>
      <t>9%</t>
    </r>
    <r>
      <rPr>
        <b/>
        <sz val="12"/>
        <color theme="1"/>
        <rFont val="Arial"/>
        <family val="2"/>
        <scheme val="minor"/>
      </rPr>
      <t>: INCLUYE 12D Y CON BONO AMOBLADO</t>
    </r>
  </si>
  <si>
    <r>
      <t xml:space="preserve">NS 440, </t>
    </r>
    <r>
      <rPr>
        <sz val="10"/>
        <color rgb="FF000000"/>
        <rFont val="Arial"/>
        <scheme val="minor"/>
      </rPr>
      <t xml:space="preserve">Providencia </t>
    </r>
    <r>
      <rPr>
        <b/>
        <sz val="11"/>
        <color theme="1"/>
        <rFont val="Arial"/>
        <family val="2"/>
        <scheme val="minor"/>
      </rPr>
      <t>(SANTOLAYA)</t>
    </r>
  </si>
  <si>
    <r>
      <rPr>
        <b/>
        <sz val="11"/>
        <rFont val="Arial"/>
        <family val="2"/>
        <scheme val="minor"/>
      </rPr>
      <t xml:space="preserve">1 </t>
    </r>
    <r>
      <rPr>
        <sz val="11"/>
        <rFont val="Arial"/>
        <family val="2"/>
        <scheme val="minor"/>
      </rPr>
      <t xml:space="preserve">cuota /ó </t>
    </r>
    <r>
      <rPr>
        <b/>
        <sz val="11"/>
        <rFont val="Arial"/>
        <family val="2"/>
        <scheme val="minor"/>
      </rPr>
      <t xml:space="preserve">18 </t>
    </r>
    <r>
      <rPr>
        <sz val="11"/>
        <rFont val="Arial"/>
        <family val="2"/>
        <scheme val="minor"/>
      </rPr>
      <t>cuotas sin interés tarjeta crédito (máx 20% del precio)</t>
    </r>
  </si>
  <si>
    <t>PROMOCION 12D ( 5% BONO PIE)</t>
  </si>
  <si>
    <r>
      <rPr>
        <b/>
        <sz val="11"/>
        <color theme="1"/>
        <rFont val="Arial"/>
        <family val="2"/>
        <scheme val="minor"/>
      </rPr>
      <t>CIUDAD CERRILLOS,</t>
    </r>
    <r>
      <rPr>
        <sz val="10"/>
        <color rgb="FF000000"/>
        <rFont val="Arial"/>
        <scheme val="minor"/>
      </rPr>
      <t xml:space="preserve"> Cerrillos  </t>
    </r>
    <r>
      <rPr>
        <b/>
        <sz val="11"/>
        <color theme="1"/>
        <rFont val="Arial"/>
        <family val="2"/>
        <scheme val="minor"/>
      </rPr>
      <t>(DEISA)</t>
    </r>
  </si>
  <si>
    <r>
      <rPr>
        <b/>
        <sz val="11"/>
        <color theme="1"/>
        <rFont val="Arial"/>
        <family val="2"/>
        <scheme val="minor"/>
      </rPr>
      <t xml:space="preserve">1 a 3 </t>
    </r>
    <r>
      <rPr>
        <sz val="10"/>
        <color rgb="FF000000"/>
        <rFont val="Arial"/>
        <scheme val="minor"/>
      </rPr>
      <t>cuotas</t>
    </r>
    <r>
      <rPr>
        <b/>
        <sz val="11"/>
        <color theme="1"/>
        <rFont val="Arial"/>
        <family val="2"/>
        <scheme val="minor"/>
      </rPr>
      <t xml:space="preserve"> TOKU</t>
    </r>
    <r>
      <rPr>
        <sz val="10"/>
        <color rgb="FF000000"/>
        <rFont val="Arial"/>
        <scheme val="minor"/>
      </rPr>
      <t xml:space="preserve"> / ó</t>
    </r>
    <r>
      <rPr>
        <b/>
        <sz val="11"/>
        <color theme="1"/>
        <rFont val="Arial"/>
        <family val="2"/>
        <scheme val="minor"/>
      </rPr>
      <t xml:space="preserve"> 24</t>
    </r>
    <r>
      <rPr>
        <sz val="10"/>
        <color rgb="FF000000"/>
        <rFont val="Arial"/>
        <scheme val="minor"/>
      </rPr>
      <t xml:space="preserve"> cuotas sin interés tarejta crédito (</t>
    </r>
    <r>
      <rPr>
        <b/>
        <sz val="11"/>
        <color theme="1"/>
        <rFont val="Arial"/>
        <family val="2"/>
        <scheme val="minor"/>
      </rPr>
      <t xml:space="preserve">max 20% del precio)  </t>
    </r>
  </si>
  <si>
    <r>
      <t xml:space="preserve">PROMOCION </t>
    </r>
    <r>
      <rPr>
        <b/>
        <sz val="11"/>
        <rFont val="Arial"/>
        <family val="2"/>
        <scheme val="minor"/>
      </rPr>
      <t>24D</t>
    </r>
    <r>
      <rPr>
        <b/>
        <sz val="11"/>
        <color theme="1"/>
        <rFont val="Arial"/>
        <family val="2"/>
        <scheme val="minor"/>
      </rPr>
      <t xml:space="preserve"> (5% BONO PIE Y 10% BONO PIE SUJETO A TASACIÓN)</t>
    </r>
  </si>
  <si>
    <r>
      <t xml:space="preserve">PLAN ESPECIAL PIE EN </t>
    </r>
    <r>
      <rPr>
        <b/>
        <sz val="11"/>
        <color rgb="FFED0000"/>
        <rFont val="Arial"/>
        <family val="2"/>
        <scheme val="minor"/>
      </rPr>
      <t>HASTA</t>
    </r>
    <r>
      <rPr>
        <b/>
        <sz val="11"/>
        <color rgb="FFFF0000"/>
        <rFont val="Arial"/>
        <family val="2"/>
        <scheme val="minor"/>
      </rPr>
      <t xml:space="preserve"> 27</t>
    </r>
    <r>
      <rPr>
        <b/>
        <sz val="11"/>
        <color theme="1"/>
        <rFont val="Arial"/>
        <family val="2"/>
        <scheme val="minor"/>
      </rPr>
      <t xml:space="preserve"> CUOTAS: 2% CP + 1,5% EN HASTA 3 CUOTAS TOKU  + CUOTON 6,5% EN 24 C/TC + 24D + 80% CHIP</t>
    </r>
  </si>
  <si>
    <r>
      <t>SIN ARRIENDO GARANTIZADO</t>
    </r>
    <r>
      <rPr>
        <b/>
        <sz val="11"/>
        <color rgb="FFFF0000"/>
        <rFont val="Arial"/>
        <family val="2"/>
        <scheme val="minor"/>
      </rPr>
      <t xml:space="preserve"> 1,8% DES</t>
    </r>
    <r>
      <rPr>
        <b/>
        <sz val="11"/>
        <color rgb="FFED0000"/>
        <rFont val="Arial"/>
        <family val="2"/>
        <scheme val="minor"/>
      </rPr>
      <t>CTO ADIC</t>
    </r>
  </si>
  <si>
    <r>
      <rPr>
        <b/>
        <sz val="11"/>
        <color rgb="FFFF0000"/>
        <rFont val="Arial"/>
        <family val="2"/>
        <scheme val="minor"/>
      </rPr>
      <t xml:space="preserve">ARRIENDO GARANTIZADO </t>
    </r>
    <r>
      <rPr>
        <b/>
        <sz val="11"/>
        <color theme="1"/>
        <rFont val="Arial"/>
        <family val="2"/>
        <scheme val="minor"/>
      </rPr>
      <t>2</t>
    </r>
    <r>
      <rPr>
        <b/>
        <sz val="11"/>
        <color rgb="FFFF0000"/>
        <rFont val="Arial"/>
        <family val="2"/>
        <scheme val="minor"/>
      </rPr>
      <t xml:space="preserve"> AÑOS SOBRE MERCADO</t>
    </r>
    <r>
      <rPr>
        <b/>
        <sz val="11"/>
        <color theme="1"/>
        <rFont val="Arial"/>
        <family val="2"/>
        <scheme val="minor"/>
      </rPr>
      <t xml:space="preserve"> (REVISAR VALORES QUE APLICAN) </t>
    </r>
  </si>
  <si>
    <r>
      <rPr>
        <b/>
        <sz val="11"/>
        <color theme="1"/>
        <rFont val="Arial"/>
        <family val="2"/>
        <scheme val="minor"/>
      </rPr>
      <t>MARCA SANTIAGO</t>
    </r>
    <r>
      <rPr>
        <sz val="10"/>
        <color rgb="FF000000"/>
        <rFont val="Arial"/>
        <scheme val="minor"/>
      </rPr>
      <t xml:space="preserve">, Stgo </t>
    </r>
    <r>
      <rPr>
        <b/>
        <sz val="11"/>
        <color theme="1"/>
        <rFont val="Arial"/>
        <family val="2"/>
        <scheme val="minor"/>
      </rPr>
      <t>(IKLP - DEISA)</t>
    </r>
  </si>
  <si>
    <r>
      <t xml:space="preserve">1 a 3 cuotas TOKU / </t>
    </r>
    <r>
      <rPr>
        <sz val="10"/>
        <color rgb="FF000000"/>
        <rFont val="Arial"/>
        <scheme val="minor"/>
      </rPr>
      <t>ó</t>
    </r>
    <r>
      <rPr>
        <b/>
        <sz val="11"/>
        <color theme="1"/>
        <rFont val="Arial"/>
        <family val="2"/>
        <scheme val="minor"/>
      </rPr>
      <t xml:space="preserve"> 24</t>
    </r>
    <r>
      <rPr>
        <sz val="10"/>
        <color rgb="FF000000"/>
        <rFont val="Arial"/>
        <scheme val="minor"/>
      </rPr>
      <t xml:space="preserve"> cuotas sin interés tarjeta crédito</t>
    </r>
    <r>
      <rPr>
        <b/>
        <sz val="11"/>
        <color theme="1"/>
        <rFont val="Arial"/>
        <family val="2"/>
        <scheme val="minor"/>
      </rPr>
      <t xml:space="preserve"> GETNET (max 20% del precio)  </t>
    </r>
  </si>
  <si>
    <t>PLAN ESPECIAL PIE EN HASTA 27 CUOTAS: 2% CP + 1,5% EN HASTA 3 CUOTAS TOKU  + CUOTON 6,5% EN 24 C/TC + 24D + 80% CHIP</t>
  </si>
  <si>
    <r>
      <t xml:space="preserve">SI NO HAY ARRIENDO GARANTIZADO </t>
    </r>
    <r>
      <rPr>
        <b/>
        <sz val="14"/>
        <rFont val="Arial"/>
        <family val="2"/>
        <scheme val="minor"/>
      </rPr>
      <t>MAX  DESCTO</t>
    </r>
    <r>
      <rPr>
        <sz val="14"/>
        <rFont val="Arial"/>
        <family val="2"/>
        <scheme val="minor"/>
      </rPr>
      <t xml:space="preserve"> </t>
    </r>
    <r>
      <rPr>
        <b/>
        <sz val="14"/>
        <color rgb="FFFF3300"/>
        <rFont val="Arial"/>
        <family val="2"/>
        <scheme val="minor"/>
      </rPr>
      <t>18%)</t>
    </r>
  </si>
  <si>
    <r>
      <rPr>
        <b/>
        <sz val="11"/>
        <color rgb="FFFF0000"/>
        <rFont val="Arial"/>
        <family val="2"/>
        <scheme val="minor"/>
      </rPr>
      <t>ARRIENDO GARANTIZADO SOBRE MERCADO</t>
    </r>
    <r>
      <rPr>
        <b/>
        <sz val="11"/>
        <color theme="1"/>
        <rFont val="Arial"/>
        <family val="2"/>
        <scheme val="minor"/>
      </rPr>
      <t xml:space="preserve"> INCLUIDO EN DESCTO MAX 16,36% (REVISAR CONDICIONES DE</t>
    </r>
    <r>
      <rPr>
        <b/>
        <sz val="11"/>
        <color rgb="FFFF0000"/>
        <rFont val="Arial"/>
        <family val="2"/>
        <scheme val="minor"/>
      </rPr>
      <t xml:space="preserve"> VALORES DE ARRIENDO)</t>
    </r>
  </si>
  <si>
    <r>
      <rPr>
        <b/>
        <sz val="11"/>
        <color theme="1"/>
        <rFont val="Arial"/>
        <family val="2"/>
        <scheme val="minor"/>
      </rPr>
      <t>BARRIO CUETO</t>
    </r>
    <r>
      <rPr>
        <sz val="10"/>
        <color rgb="FF000000"/>
        <rFont val="Arial"/>
        <scheme val="minor"/>
      </rPr>
      <t xml:space="preserve">, Stgo </t>
    </r>
    <r>
      <rPr>
        <b/>
        <sz val="11"/>
        <color theme="1"/>
        <rFont val="Arial"/>
        <family val="2"/>
        <scheme val="minor"/>
      </rPr>
      <t>(ORMUZ)</t>
    </r>
  </si>
  <si>
    <t>Desde 1%</t>
  </si>
  <si>
    <r>
      <t>BONO PIE 10% - ASOCIADO A FIRMA PAGARÉ -</t>
    </r>
    <r>
      <rPr>
        <b/>
        <sz val="11"/>
        <color rgb="FFFF0000"/>
        <rFont val="Arial"/>
        <family val="2"/>
        <scheme val="minor"/>
      </rPr>
      <t xml:space="preserve"> 23% Y 24% MAXIMO CON AG</t>
    </r>
  </si>
  <si>
    <t>PROMOCION "DESDE PIE 0": 10% BONO PIE - 90% CHIP  (VTAS SIN $ CP, PAGO COMISION CONTRA ESCRITURA)</t>
  </si>
  <si>
    <t>2do Trimestre 2026</t>
  </si>
  <si>
    <r>
      <rPr>
        <b/>
        <sz val="11"/>
        <color theme="1"/>
        <rFont val="Arial"/>
        <family val="2"/>
        <scheme val="minor"/>
      </rPr>
      <t>3</t>
    </r>
    <r>
      <rPr>
        <sz val="10"/>
        <color rgb="FF000000"/>
        <rFont val="Arial"/>
        <scheme val="minor"/>
      </rPr>
      <t xml:space="preserve"> cuotas </t>
    </r>
    <r>
      <rPr>
        <b/>
        <sz val="11"/>
        <color theme="1"/>
        <rFont val="Arial"/>
        <family val="2"/>
        <scheme val="minor"/>
      </rPr>
      <t>TOKU /</t>
    </r>
    <r>
      <rPr>
        <sz val="10"/>
        <color rgb="FF000000"/>
        <rFont val="Arial"/>
        <scheme val="minor"/>
      </rPr>
      <t xml:space="preserve"> </t>
    </r>
    <r>
      <rPr>
        <b/>
        <sz val="11"/>
        <color theme="1"/>
        <rFont val="Arial"/>
        <family val="2"/>
        <scheme val="minor"/>
      </rPr>
      <t xml:space="preserve">36 </t>
    </r>
    <r>
      <rPr>
        <sz val="10"/>
        <color rgb="FF000000"/>
        <rFont val="Arial"/>
        <scheme val="minor"/>
      </rPr>
      <t>cuotas sin interés tarjeta crédito (máx</t>
    </r>
    <r>
      <rPr>
        <b/>
        <sz val="11"/>
        <color theme="1"/>
        <rFont val="Arial"/>
        <family val="2"/>
        <scheme val="minor"/>
      </rPr>
      <t xml:space="preserve"> 20%</t>
    </r>
    <r>
      <rPr>
        <sz val="10"/>
        <color rgb="FF000000"/>
        <rFont val="Arial"/>
        <scheme val="minor"/>
      </rPr>
      <t xml:space="preserve"> del precio)(GETNET)</t>
    </r>
  </si>
  <si>
    <r>
      <t xml:space="preserve">VENTA CON 90% CHIP Y FINANCIAMIENTO 5% CREDITU </t>
    </r>
    <r>
      <rPr>
        <b/>
        <sz val="11"/>
        <color rgb="FFFF0000"/>
        <rFont val="Arial"/>
        <family val="2"/>
        <scheme val="minor"/>
      </rPr>
      <t>ESTA SUJETA A PRE-APROBACIÓN BCO Y CREDITU</t>
    </r>
  </si>
  <si>
    <r>
      <rPr>
        <b/>
        <sz val="11"/>
        <color rgb="FFFF0000"/>
        <rFont val="Arial"/>
        <family val="2"/>
        <scheme val="minor"/>
      </rPr>
      <t>ELIGE PROMOCION ADICIONAL</t>
    </r>
    <r>
      <rPr>
        <b/>
        <sz val="11"/>
        <rFont val="Arial"/>
        <family val="2"/>
        <scheme val="minor"/>
      </rPr>
      <t>: BONO DESCTO 3%  ó 5% CREDITU 60 MESES S/COSTO ó ARRIENDO GARANTIZADO NORMAL  2 AÑOS.</t>
    </r>
  </si>
  <si>
    <r>
      <t xml:space="preserve">DEPTOS 1D Y 2D UNID SELECCIONADAS PRECIO FINAL: </t>
    </r>
    <r>
      <rPr>
        <b/>
        <sz val="11"/>
        <color rgb="FFFF0000"/>
        <rFont val="Arial"/>
        <family val="2"/>
        <scheme val="minor"/>
      </rPr>
      <t>UF2.190 (1D) y UF2.790 (2D)</t>
    </r>
    <r>
      <rPr>
        <b/>
        <sz val="11"/>
        <rFont val="Arial"/>
        <family val="2"/>
        <scheme val="minor"/>
      </rPr>
      <t xml:space="preserve"> (VER DETALLE DEPTOS HOJA ANEXA) (NO ACUMULA CON OTRAS PROMOC)</t>
    </r>
  </si>
  <si>
    <r>
      <t xml:space="preserve">SUEÑA LIRA, </t>
    </r>
    <r>
      <rPr>
        <sz val="10"/>
        <color rgb="FF000000"/>
        <rFont val="Arial"/>
        <scheme val="minor"/>
      </rPr>
      <t>Santiago</t>
    </r>
    <r>
      <rPr>
        <b/>
        <sz val="11"/>
        <color theme="1"/>
        <rFont val="Arial"/>
        <family val="2"/>
        <scheme val="minor"/>
      </rPr>
      <t xml:space="preserve"> (SANTOLAYA)</t>
    </r>
  </si>
  <si>
    <r>
      <rPr>
        <b/>
        <sz val="11"/>
        <color theme="1"/>
        <rFont val="Arial"/>
        <family val="2"/>
        <scheme val="minor"/>
      </rPr>
      <t>11</t>
    </r>
    <r>
      <rPr>
        <sz val="10"/>
        <color rgb="FF000000"/>
        <rFont val="Arial"/>
        <scheme val="minor"/>
      </rPr>
      <t xml:space="preserve"> cuotas TOKU / ó </t>
    </r>
    <r>
      <rPr>
        <b/>
        <sz val="11"/>
        <color theme="1"/>
        <rFont val="Arial"/>
        <family val="2"/>
        <scheme val="minor"/>
      </rPr>
      <t xml:space="preserve">18 </t>
    </r>
    <r>
      <rPr>
        <sz val="10"/>
        <color rgb="FF000000"/>
        <rFont val="Arial"/>
        <scheme val="minor"/>
      </rPr>
      <t xml:space="preserve">cuotas sin interés tarejta crédito (max 20% del precio)  </t>
    </r>
  </si>
  <si>
    <t>PLAN ESPECIAL PIE EN HASTA 29 CUOTAS: 7% EN 11 CUOTAS CON TOKU + 3% EN 18 CUOTAS C/TC A LA ESCRITURA + 10% 24D + 80% CREDITO</t>
  </si>
  <si>
    <r>
      <t xml:space="preserve">SEMINARIO 775, </t>
    </r>
    <r>
      <rPr>
        <sz val="10"/>
        <color rgb="FF000000"/>
        <rFont val="Arial"/>
        <scheme val="minor"/>
      </rPr>
      <t>Ñuñoa</t>
    </r>
    <r>
      <rPr>
        <b/>
        <sz val="11"/>
        <color theme="1"/>
        <rFont val="Arial"/>
        <family val="2"/>
        <scheme val="minor"/>
      </rPr>
      <t xml:space="preserve"> (SANTOLAYA)</t>
    </r>
  </si>
  <si>
    <r>
      <rPr>
        <b/>
        <sz val="11"/>
        <color theme="1"/>
        <rFont val="Arial"/>
        <family val="2"/>
        <scheme val="minor"/>
      </rPr>
      <t>15</t>
    </r>
    <r>
      <rPr>
        <sz val="10"/>
        <color rgb="FF000000"/>
        <rFont val="Arial"/>
        <scheme val="minor"/>
      </rPr>
      <t xml:space="preserve"> cuotas TOKU / ó </t>
    </r>
    <r>
      <rPr>
        <b/>
        <sz val="11"/>
        <color theme="1"/>
        <rFont val="Arial"/>
        <family val="2"/>
        <scheme val="minor"/>
      </rPr>
      <t>18</t>
    </r>
    <r>
      <rPr>
        <sz val="10"/>
        <color rgb="FF000000"/>
        <rFont val="Arial"/>
        <scheme val="minor"/>
      </rPr>
      <t xml:space="preserve"> cuotas sin interés tarejta crédito (max 20% del precio)  </t>
    </r>
  </si>
  <si>
    <t>PROMOCION 24 DIVIDENDOS</t>
  </si>
  <si>
    <t>PLAN ESPECIAL PIE EN HASTA 35 CUOTAS: 7% EN 17 CUOTAS CON TOKU + 3% EN 18 CUOTAS C/TC A LA ESCRITURA  + 10% 24D + 80% CH</t>
  </si>
  <si>
    <r>
      <rPr>
        <b/>
        <sz val="11"/>
        <color theme="1"/>
        <rFont val="Arial"/>
        <family val="2"/>
        <scheme val="minor"/>
      </rPr>
      <t>WALKER MARTINEZ 880</t>
    </r>
    <r>
      <rPr>
        <sz val="10"/>
        <color rgb="FF000000"/>
        <rFont val="Arial"/>
        <scheme val="minor"/>
      </rPr>
      <t>,   La Florida</t>
    </r>
    <r>
      <rPr>
        <b/>
        <sz val="11"/>
        <color theme="1"/>
        <rFont val="Arial"/>
        <family val="2"/>
        <scheme val="minor"/>
      </rPr>
      <t xml:space="preserve"> (SANTOLAYA)</t>
    </r>
  </si>
  <si>
    <t>Desde 5%</t>
  </si>
  <si>
    <r>
      <rPr>
        <b/>
        <sz val="11"/>
        <color theme="1"/>
        <rFont val="Arial"/>
        <family val="2"/>
        <scheme val="minor"/>
      </rPr>
      <t xml:space="preserve">19 </t>
    </r>
    <r>
      <rPr>
        <sz val="10"/>
        <color rgb="FF000000"/>
        <rFont val="Arial"/>
        <scheme val="minor"/>
      </rPr>
      <t xml:space="preserve">cuotas TOKU / ó </t>
    </r>
    <r>
      <rPr>
        <b/>
        <sz val="11"/>
        <color theme="1"/>
        <rFont val="Arial"/>
        <family val="2"/>
        <scheme val="minor"/>
      </rPr>
      <t xml:space="preserve">18 </t>
    </r>
    <r>
      <rPr>
        <sz val="10"/>
        <color rgb="FF000000"/>
        <rFont val="Arial"/>
        <scheme val="minor"/>
      </rPr>
      <t xml:space="preserve">cuotas sin interés tarejta crédito (max 20% del precio)  </t>
    </r>
  </si>
  <si>
    <r>
      <t xml:space="preserve">PROMOCION 24 DIVIDENDOS - </t>
    </r>
    <r>
      <rPr>
        <b/>
        <sz val="11"/>
        <color rgb="FFFF0000"/>
        <rFont val="Arial"/>
        <family val="2"/>
        <scheme val="minor"/>
      </rPr>
      <t>SOLO DEPTOS 1,5 Y 2D</t>
    </r>
  </si>
  <si>
    <r>
      <t xml:space="preserve">PLAN ESPECIAL PIE EN HASTA 37 CUOTAS </t>
    </r>
    <r>
      <rPr>
        <b/>
        <sz val="11"/>
        <color rgb="FFFF0000"/>
        <rFont val="Arial"/>
        <family val="2"/>
        <scheme val="minor"/>
      </rPr>
      <t>LINEALES:</t>
    </r>
    <r>
      <rPr>
        <b/>
        <sz val="11"/>
        <color theme="1"/>
        <rFont val="Arial"/>
        <family val="2"/>
        <scheme val="minor"/>
      </rPr>
      <t xml:space="preserve"> LAS PRIMERAS 19 CUOTAS CON TOKU + 18 C/TC  A LA ESCRITURA  + 10% 24D + 80% CREDITO</t>
    </r>
  </si>
  <si>
    <r>
      <rPr>
        <b/>
        <sz val="11"/>
        <color rgb="FFFF0000"/>
        <rFont val="Arial"/>
        <family val="2"/>
        <scheme val="minor"/>
      </rPr>
      <t>DEPTOS 1D</t>
    </r>
    <r>
      <rPr>
        <b/>
        <sz val="11"/>
        <color theme="1"/>
        <rFont val="Arial"/>
        <family val="2"/>
        <scheme val="minor"/>
      </rPr>
      <t xml:space="preserve"> 15% PIE EN 19 CUOTAS TOKU + 5% A LA ESCRITURA C/TC + 80% CREDITO</t>
    </r>
  </si>
  <si>
    <r>
      <t>TODOS LOS DEPTOS CON AZOTEA USO Y GOCE EXCLUSIVO,</t>
    </r>
    <r>
      <rPr>
        <b/>
        <sz val="11"/>
        <color rgb="FFFF0000"/>
        <rFont val="Arial"/>
        <family val="2"/>
        <scheme val="minor"/>
      </rPr>
      <t xml:space="preserve"> 17% DESCTO</t>
    </r>
  </si>
  <si>
    <r>
      <t xml:space="preserve">NODO LA CISTERNA,  </t>
    </r>
    <r>
      <rPr>
        <sz val="10"/>
        <color rgb="FF000000"/>
        <rFont val="Arial"/>
        <scheme val="minor"/>
      </rPr>
      <t xml:space="preserve">La Cisterna </t>
    </r>
    <r>
      <rPr>
        <b/>
        <sz val="11"/>
        <color theme="1"/>
        <rFont val="Arial"/>
        <family val="2"/>
        <scheme val="minor"/>
      </rPr>
      <t>(DEISA)</t>
    </r>
  </si>
  <si>
    <r>
      <rPr>
        <b/>
        <sz val="11"/>
        <color theme="1"/>
        <rFont val="Arial"/>
        <family val="2"/>
        <scheme val="minor"/>
      </rPr>
      <t xml:space="preserve">20 </t>
    </r>
    <r>
      <rPr>
        <sz val="10"/>
        <color rgb="FF000000"/>
        <rFont val="Arial"/>
        <scheme val="minor"/>
      </rPr>
      <t>cuotas TOKU</t>
    </r>
    <r>
      <rPr>
        <b/>
        <sz val="11"/>
        <color theme="1"/>
        <rFont val="Arial"/>
        <family val="2"/>
        <scheme val="minor"/>
      </rPr>
      <t xml:space="preserve"> </t>
    </r>
    <r>
      <rPr>
        <sz val="10"/>
        <color rgb="FF000000"/>
        <rFont val="Arial"/>
        <scheme val="minor"/>
      </rPr>
      <t>/ ó</t>
    </r>
    <r>
      <rPr>
        <b/>
        <sz val="11"/>
        <color theme="1"/>
        <rFont val="Arial"/>
        <family val="2"/>
        <scheme val="minor"/>
      </rPr>
      <t xml:space="preserve"> 18 </t>
    </r>
    <r>
      <rPr>
        <sz val="10"/>
        <color rgb="FF000000"/>
        <rFont val="Arial"/>
        <scheme val="minor"/>
      </rPr>
      <t xml:space="preserve">cuotas sin interés tarejta crédito (max 20% del precio)  </t>
    </r>
  </si>
  <si>
    <t>PROMOCION 24 DIVIDENDOS  (10% BONO PIE)</t>
  </si>
  <si>
    <t>PLAN ESPECIAL PIE EN HASTA 38 CUOTAS: 7% LAS PRIMERAS 20 CUOTAS CON TOKU + 3% EN 18 CUOTAS C/TC  A LA ESCRITURA  + 10% 24D + 80% CH</t>
  </si>
  <si>
    <r>
      <rPr>
        <b/>
        <sz val="11"/>
        <color rgb="FFFF0000"/>
        <rFont val="Arial"/>
        <family val="2"/>
        <scheme val="minor"/>
      </rPr>
      <t xml:space="preserve">ARRIENDO GARANTIZADO </t>
    </r>
    <r>
      <rPr>
        <b/>
        <sz val="11"/>
        <color theme="1"/>
        <rFont val="Arial"/>
        <family val="2"/>
        <scheme val="minor"/>
      </rPr>
      <t>2</t>
    </r>
    <r>
      <rPr>
        <b/>
        <sz val="11"/>
        <color rgb="FFFF0000"/>
        <rFont val="Arial"/>
        <family val="2"/>
        <scheme val="minor"/>
      </rPr>
      <t xml:space="preserve"> AÑOS SOBRE MERCADO</t>
    </r>
    <r>
      <rPr>
        <b/>
        <sz val="11"/>
        <color theme="1"/>
        <rFont val="Arial"/>
        <family val="2"/>
        <scheme val="minor"/>
      </rPr>
      <t xml:space="preserve"> (REVISAR VALORES QUE APLICAN) - SIN ARRIENDO GARANTIZADO </t>
    </r>
    <r>
      <rPr>
        <b/>
        <sz val="11"/>
        <color rgb="FFED0000"/>
        <rFont val="Arial"/>
        <family val="2"/>
        <scheme val="minor"/>
      </rPr>
      <t>2% DESCTO ADICIONAL</t>
    </r>
  </si>
  <si>
    <r>
      <t>CIUDAD MATTA,</t>
    </r>
    <r>
      <rPr>
        <sz val="10"/>
        <color rgb="FF000000"/>
        <rFont val="Arial"/>
        <scheme val="minor"/>
      </rPr>
      <t xml:space="preserve"> Santiago </t>
    </r>
    <r>
      <rPr>
        <b/>
        <sz val="11"/>
        <color theme="1"/>
        <rFont val="Arial"/>
        <family val="2"/>
        <scheme val="minor"/>
      </rPr>
      <t>(DEISA)</t>
    </r>
  </si>
  <si>
    <r>
      <rPr>
        <b/>
        <sz val="11"/>
        <color theme="1"/>
        <rFont val="Arial"/>
        <family val="2"/>
        <scheme val="minor"/>
      </rPr>
      <t xml:space="preserve">23 </t>
    </r>
    <r>
      <rPr>
        <sz val="10"/>
        <color rgb="FF000000"/>
        <rFont val="Arial"/>
        <scheme val="minor"/>
      </rPr>
      <t xml:space="preserve">cuotas TOKU / ó 18 cuotas sin interés tarejta crédito (max 20% del precio)  </t>
    </r>
  </si>
  <si>
    <t>PLAN ESPECIAL PIE EN HASTA 41 CUOTAS: 7% LAS PRIMERAS 23 CUOTAS CON TOKU + 3% CON 18 CUOTAS C/TC A LA ESCRITURA + 10% 24D + 80% CREDITO</t>
  </si>
  <si>
    <r>
      <t xml:space="preserve">CIUDAD ESPAÑA, </t>
    </r>
    <r>
      <rPr>
        <sz val="10"/>
        <color rgb="FF000000"/>
        <rFont val="Arial"/>
        <scheme val="minor"/>
      </rPr>
      <t xml:space="preserve">Santiago </t>
    </r>
    <r>
      <rPr>
        <b/>
        <sz val="11"/>
        <color theme="1"/>
        <rFont val="Arial"/>
        <family val="2"/>
        <scheme val="minor"/>
      </rPr>
      <t>(DEISA)</t>
    </r>
  </si>
  <si>
    <r>
      <t xml:space="preserve">1er Trimestre </t>
    </r>
    <r>
      <rPr>
        <b/>
        <sz val="11"/>
        <color theme="1"/>
        <rFont val="Arial"/>
        <family val="2"/>
        <scheme val="minor"/>
      </rPr>
      <t>2028</t>
    </r>
  </si>
  <si>
    <r>
      <rPr>
        <b/>
        <sz val="11"/>
        <color theme="1"/>
        <rFont val="Arial"/>
        <family val="2"/>
        <scheme val="minor"/>
      </rPr>
      <t>23</t>
    </r>
    <r>
      <rPr>
        <sz val="10"/>
        <color rgb="FF000000"/>
        <rFont val="Arial"/>
        <scheme val="minor"/>
      </rPr>
      <t xml:space="preserve"> cuotas TOKU / ó </t>
    </r>
    <r>
      <rPr>
        <b/>
        <sz val="11"/>
        <color theme="1"/>
        <rFont val="Arial"/>
        <family val="2"/>
        <scheme val="minor"/>
      </rPr>
      <t>18</t>
    </r>
    <r>
      <rPr>
        <sz val="10"/>
        <color rgb="FF000000"/>
        <rFont val="Arial"/>
        <scheme val="minor"/>
      </rPr>
      <t xml:space="preserve"> cuotas sin interés tarejta crédito (max 20% del precio)  </t>
    </r>
  </si>
  <si>
    <r>
      <t xml:space="preserve"> SIN ARRIENDO GARANTIZADO </t>
    </r>
    <r>
      <rPr>
        <b/>
        <sz val="11"/>
        <color rgb="FFED0000"/>
        <rFont val="Arial"/>
        <family val="2"/>
        <scheme val="minor"/>
      </rPr>
      <t>2% DESCTO ADICIONAL</t>
    </r>
  </si>
  <si>
    <r>
      <rPr>
        <b/>
        <sz val="11"/>
        <color rgb="FFFF0000"/>
        <rFont val="Arial"/>
        <family val="2"/>
        <scheme val="minor"/>
      </rPr>
      <t>ARRIENDO GARANTIZADO SOBRE MERCADO</t>
    </r>
    <r>
      <rPr>
        <b/>
        <sz val="11"/>
        <color theme="1"/>
        <rFont val="Arial"/>
        <family val="2"/>
        <scheme val="minor"/>
      </rPr>
      <t xml:space="preserve"> 2</t>
    </r>
    <r>
      <rPr>
        <b/>
        <sz val="11"/>
        <color rgb="FFFF0000"/>
        <rFont val="Arial"/>
        <family val="2"/>
        <scheme val="minor"/>
      </rPr>
      <t xml:space="preserve"> AÑOS</t>
    </r>
    <r>
      <rPr>
        <b/>
        <sz val="11"/>
        <color theme="1"/>
        <rFont val="Arial"/>
        <family val="2"/>
        <scheme val="minor"/>
      </rPr>
      <t xml:space="preserve"> INCLUIDO EN DESCTO MAX (REVISAR CONDICIONES Y VALORES QUE APLICAN)</t>
    </r>
  </si>
  <si>
    <r>
      <t xml:space="preserve">CIUDAD SIETE, </t>
    </r>
    <r>
      <rPr>
        <sz val="10"/>
        <color rgb="FF000000"/>
        <rFont val="Arial"/>
        <scheme val="minor"/>
      </rPr>
      <t xml:space="preserve">Cerrillos </t>
    </r>
    <r>
      <rPr>
        <b/>
        <sz val="11"/>
        <color theme="1"/>
        <rFont val="Arial"/>
        <family val="2"/>
        <scheme val="minor"/>
      </rPr>
      <t>(DEISA)</t>
    </r>
  </si>
  <si>
    <r>
      <rPr>
        <b/>
        <sz val="11"/>
        <color theme="1"/>
        <rFont val="Arial"/>
        <family val="2"/>
        <scheme val="minor"/>
      </rPr>
      <t xml:space="preserve">23 </t>
    </r>
    <r>
      <rPr>
        <sz val="10"/>
        <color rgb="FF000000"/>
        <rFont val="Arial"/>
        <scheme val="minor"/>
      </rPr>
      <t xml:space="preserve">cuotas TOKU / ó </t>
    </r>
    <r>
      <rPr>
        <b/>
        <sz val="11"/>
        <color theme="1"/>
        <rFont val="Arial"/>
        <family val="2"/>
        <scheme val="minor"/>
      </rPr>
      <t>18</t>
    </r>
    <r>
      <rPr>
        <sz val="10"/>
        <color rgb="FF000000"/>
        <rFont val="Arial"/>
        <scheme val="minor"/>
      </rPr>
      <t xml:space="preserve"> cuotas sin interés tarejta crédito (max 20% del precio)  </t>
    </r>
  </si>
  <si>
    <t xml:space="preserve">PROMOCION 24 DIVIDENDOS </t>
  </si>
  <si>
    <r>
      <t>MACUL 3803,</t>
    </r>
    <r>
      <rPr>
        <sz val="10"/>
        <color rgb="FF000000"/>
        <rFont val="Arial"/>
        <scheme val="minor"/>
      </rPr>
      <t xml:space="preserve"> Macul </t>
    </r>
    <r>
      <rPr>
        <b/>
        <sz val="11"/>
        <color theme="1"/>
        <rFont val="Arial"/>
        <family val="2"/>
        <scheme val="minor"/>
      </rPr>
      <t>(SANTOLAYA)</t>
    </r>
  </si>
  <si>
    <r>
      <t xml:space="preserve">PROMOCION 24 DIVIDENDOS - </t>
    </r>
    <r>
      <rPr>
        <b/>
        <sz val="11"/>
        <color rgb="FFFF0000"/>
        <rFont val="Arial"/>
        <family val="2"/>
        <scheme val="minor"/>
      </rPr>
      <t>SOLO DEPTOS 1,5D Y 2D</t>
    </r>
  </si>
  <si>
    <r>
      <t xml:space="preserve">PLAN ESPECIAL PIE EN HASTA 41 CUOTAS </t>
    </r>
    <r>
      <rPr>
        <b/>
        <sz val="11"/>
        <color rgb="FFFF0000"/>
        <rFont val="Arial"/>
        <family val="2"/>
        <scheme val="minor"/>
      </rPr>
      <t>LINEALES</t>
    </r>
    <r>
      <rPr>
        <b/>
        <sz val="11"/>
        <color theme="1"/>
        <rFont val="Arial"/>
        <family val="2"/>
        <scheme val="minor"/>
      </rPr>
      <t>: LAS PRIMERAS 23 CUOTAS CON TOKU + 18 CUOTAS C/TC A LA ESCRITURA  + 10% 24D + 80% CH</t>
    </r>
  </si>
  <si>
    <r>
      <rPr>
        <b/>
        <sz val="11"/>
        <color rgb="FFFF0000"/>
        <rFont val="Arial"/>
        <family val="2"/>
        <scheme val="minor"/>
      </rPr>
      <t>DEPTOS 1D</t>
    </r>
    <r>
      <rPr>
        <b/>
        <sz val="11"/>
        <color theme="1"/>
        <rFont val="Arial"/>
        <family val="2"/>
        <scheme val="minor"/>
      </rPr>
      <t xml:space="preserve"> 15% PIE EN 24 CUOTAS TOKU + 5% A LA ESCRITURA C/TC + 80% CREDITO</t>
    </r>
  </si>
  <si>
    <r>
      <t xml:space="preserve">VM2189, </t>
    </r>
    <r>
      <rPr>
        <sz val="10"/>
        <color rgb="FF000000"/>
        <rFont val="Arial"/>
        <scheme val="minor"/>
      </rPr>
      <t>San Joaquín</t>
    </r>
    <r>
      <rPr>
        <b/>
        <sz val="11"/>
        <color theme="1"/>
        <rFont val="Arial"/>
        <family val="2"/>
        <scheme val="minor"/>
      </rPr>
      <t xml:space="preserve"> (SANTOLAYA)</t>
    </r>
  </si>
  <si>
    <r>
      <rPr>
        <b/>
        <sz val="11"/>
        <color theme="1"/>
        <rFont val="Arial"/>
        <family val="2"/>
        <scheme val="minor"/>
      </rPr>
      <t xml:space="preserve">23 </t>
    </r>
    <r>
      <rPr>
        <sz val="10"/>
        <color rgb="FF000000"/>
        <rFont val="Arial"/>
        <scheme val="minor"/>
      </rPr>
      <t xml:space="preserve">cuotas TOKU / ó 18 cuotas sin interés tarejta crédito (max 15% del precio)  </t>
    </r>
  </si>
  <si>
    <r>
      <t xml:space="preserve">PROMOCION 24 DIVIDENDOS - </t>
    </r>
    <r>
      <rPr>
        <b/>
        <sz val="11"/>
        <color rgb="FFFF0000"/>
        <rFont val="Arial"/>
        <family val="2"/>
        <scheme val="minor"/>
      </rPr>
      <t>SOLO DEPTOS 1,5D Y 2D 2B</t>
    </r>
    <r>
      <rPr>
        <b/>
        <sz val="11"/>
        <color theme="1"/>
        <rFont val="Arial"/>
        <family val="2"/>
        <scheme val="minor"/>
      </rPr>
      <t xml:space="preserve"> (10% BONO PIE)</t>
    </r>
  </si>
  <si>
    <r>
      <t>PLAN ESPECIAL PIE EN HASTA 41 CUOTAS</t>
    </r>
    <r>
      <rPr>
        <b/>
        <sz val="11"/>
        <color rgb="FFFF0000"/>
        <rFont val="Arial"/>
        <family val="2"/>
        <scheme val="minor"/>
      </rPr>
      <t xml:space="preserve"> LINEALES</t>
    </r>
    <r>
      <rPr>
        <b/>
        <sz val="11"/>
        <color theme="1"/>
        <rFont val="Arial"/>
        <family val="2"/>
        <scheme val="minor"/>
      </rPr>
      <t>: LAS PRIMERAS 23 CUOTAS CON TOKU + 18 CUOTAS C/TC A LA ESCRITURA  + 10% 24D + 80% CH</t>
    </r>
  </si>
  <si>
    <r>
      <t xml:space="preserve">MAPOCHO 2880, </t>
    </r>
    <r>
      <rPr>
        <sz val="10"/>
        <color rgb="FF000000"/>
        <rFont val="Arial"/>
        <scheme val="minor"/>
      </rPr>
      <t>Santiago</t>
    </r>
    <r>
      <rPr>
        <b/>
        <sz val="11"/>
        <color theme="1"/>
        <rFont val="Arial"/>
        <family val="2"/>
        <scheme val="minor"/>
      </rPr>
      <t xml:space="preserve"> (SANTOLAYA)</t>
    </r>
  </si>
  <si>
    <r>
      <rPr>
        <b/>
        <sz val="11"/>
        <color theme="1"/>
        <rFont val="Arial"/>
        <family val="2"/>
        <scheme val="minor"/>
      </rPr>
      <t xml:space="preserve">36 </t>
    </r>
    <r>
      <rPr>
        <sz val="10"/>
        <color rgb="FF000000"/>
        <rFont val="Arial"/>
        <scheme val="minor"/>
      </rPr>
      <t xml:space="preserve">cuotas TOKU / ó </t>
    </r>
    <r>
      <rPr>
        <b/>
        <sz val="11"/>
        <color theme="1"/>
        <rFont val="Arial"/>
        <family val="2"/>
        <scheme val="minor"/>
      </rPr>
      <t xml:space="preserve">18 </t>
    </r>
    <r>
      <rPr>
        <sz val="10"/>
        <color rgb="FF000000"/>
        <rFont val="Arial"/>
        <scheme val="minor"/>
      </rPr>
      <t xml:space="preserve">cuotas sin interés tarejta crédito (max 15% del precio)  </t>
    </r>
  </si>
  <si>
    <t>PLAN ESPECIAL PIE EN HASTA 54 CUOTAS: 7% EN 36 CUOTAS CON TOKU + 3% EN 18 CUOTAS C/TC A LA ESCRITURA  + 10% 24D + 80% CH</t>
  </si>
  <si>
    <r>
      <t xml:space="preserve">CONECTA CERRILLOS, </t>
    </r>
    <r>
      <rPr>
        <sz val="10"/>
        <color rgb="FF000000"/>
        <rFont val="Arial"/>
        <scheme val="minor"/>
      </rPr>
      <t>Cerrillos</t>
    </r>
    <r>
      <rPr>
        <b/>
        <sz val="11"/>
        <color theme="1"/>
        <rFont val="Arial"/>
        <family val="2"/>
        <scheme val="minor"/>
      </rPr>
      <t xml:space="preserve"> (NAPOLEON)</t>
    </r>
  </si>
  <si>
    <r>
      <t>PROMOCION 24 DIVIDENDOS (CUESTA</t>
    </r>
    <r>
      <rPr>
        <b/>
        <sz val="11"/>
        <color rgb="FFFF0000"/>
        <rFont val="Arial"/>
        <family val="2"/>
        <scheme val="minor"/>
      </rPr>
      <t xml:space="preserve"> 12% DSCTO)</t>
    </r>
  </si>
  <si>
    <r>
      <t>FUENZALIDA URREJOLA 303,</t>
    </r>
    <r>
      <rPr>
        <sz val="10"/>
        <color rgb="FF000000"/>
        <rFont val="Arial"/>
        <scheme val="minor"/>
      </rPr>
      <t xml:space="preserve"> La Cisterna </t>
    </r>
    <r>
      <rPr>
        <b/>
        <sz val="11"/>
        <color theme="1"/>
        <rFont val="Arial"/>
        <family val="2"/>
        <scheme val="minor"/>
      </rPr>
      <t>(Inmob. Lugano)</t>
    </r>
  </si>
  <si>
    <r>
      <rPr>
        <b/>
        <sz val="11"/>
        <color theme="1"/>
        <rFont val="Arial"/>
        <family val="2"/>
        <scheme val="minor"/>
      </rPr>
      <t>21</t>
    </r>
    <r>
      <rPr>
        <sz val="10"/>
        <color rgb="FF000000"/>
        <rFont val="Arial"/>
        <scheme val="minor"/>
      </rPr>
      <t xml:space="preserve"> cuotas TOKU / ó 24 cuotas sin interés tarejta crédito (max 20% del precio)  </t>
    </r>
  </si>
  <si>
    <r>
      <t xml:space="preserve">PLAN ESPECIAL PIE EN HASTA 45 CUOTAS: </t>
    </r>
    <r>
      <rPr>
        <b/>
        <sz val="11"/>
        <color rgb="FFFF0000"/>
        <rFont val="Arial"/>
        <family val="2"/>
        <scheme val="minor"/>
      </rPr>
      <t xml:space="preserve">5% </t>
    </r>
    <r>
      <rPr>
        <b/>
        <sz val="11"/>
        <color theme="1"/>
        <rFont val="Arial"/>
        <family val="2"/>
        <scheme val="minor"/>
      </rPr>
      <t xml:space="preserve">EN 21 CUOTAS CON TOKU + </t>
    </r>
    <r>
      <rPr>
        <b/>
        <sz val="11"/>
        <color rgb="FFFF0000"/>
        <rFont val="Arial"/>
        <family val="2"/>
        <scheme val="minor"/>
      </rPr>
      <t xml:space="preserve">5% </t>
    </r>
    <r>
      <rPr>
        <b/>
        <sz val="11"/>
        <color theme="1"/>
        <rFont val="Arial"/>
        <family val="2"/>
        <scheme val="minor"/>
      </rPr>
      <t>CON 24 CUOTAS C/TC  A LA ESCRITURA  + 10% 24D + 80% CH</t>
    </r>
  </si>
  <si>
    <r>
      <t xml:space="preserve">ZAÑARTU 1908, </t>
    </r>
    <r>
      <rPr>
        <sz val="10"/>
        <color rgb="FF000000"/>
        <rFont val="Arial"/>
        <scheme val="minor"/>
      </rPr>
      <t xml:space="preserve">Ñuñoa </t>
    </r>
    <r>
      <rPr>
        <b/>
        <sz val="11"/>
        <color theme="1"/>
        <rFont val="Arial"/>
        <family val="2"/>
        <scheme val="minor"/>
      </rPr>
      <t>(SANTOLAYA)</t>
    </r>
  </si>
  <si>
    <r>
      <t xml:space="preserve">27 </t>
    </r>
    <r>
      <rPr>
        <sz val="10"/>
        <color rgb="FF000000"/>
        <rFont val="Arial"/>
        <scheme val="minor"/>
      </rPr>
      <t>cuotas TOKU</t>
    </r>
    <r>
      <rPr>
        <b/>
        <sz val="11"/>
        <color theme="1"/>
        <rFont val="Arial"/>
        <family val="2"/>
        <scheme val="minor"/>
      </rPr>
      <t xml:space="preserve"> / ó 18 </t>
    </r>
    <r>
      <rPr>
        <sz val="10"/>
        <color rgb="FF000000"/>
        <rFont val="Arial"/>
        <scheme val="minor"/>
      </rPr>
      <t xml:space="preserve">cuotas sin interés tarejta crédito (max 15% del precio)  </t>
    </r>
  </si>
  <si>
    <r>
      <t xml:space="preserve">PLAN ESPECIAL PIE EN HASTA 45 CUOTAS </t>
    </r>
    <r>
      <rPr>
        <b/>
        <sz val="11"/>
        <color rgb="FFFF0000"/>
        <rFont val="Arial"/>
        <family val="2"/>
        <scheme val="minor"/>
      </rPr>
      <t>LINEALES</t>
    </r>
    <r>
      <rPr>
        <b/>
        <sz val="11"/>
        <color theme="1"/>
        <rFont val="Arial"/>
        <family val="2"/>
        <scheme val="minor"/>
      </rPr>
      <t>: LAS PRIMERAS 27 CUOTAS CON TOKU + 18 CUOTAS C/TC  A LA ESCRITURA  + 10% 24D + 80% CH</t>
    </r>
  </si>
  <si>
    <r>
      <rPr>
        <b/>
        <sz val="11"/>
        <color rgb="FFFF0000"/>
        <rFont val="Arial"/>
        <family val="2"/>
        <scheme val="minor"/>
      </rPr>
      <t>DEPTOS 1D</t>
    </r>
    <r>
      <rPr>
        <b/>
        <sz val="11"/>
        <color theme="1"/>
        <rFont val="Arial"/>
        <family val="2"/>
        <scheme val="minor"/>
      </rPr>
      <t xml:space="preserve"> 15% PIE EN 27 CUOTAS TOKU + 5% A LA ESCRITURA C/TC + 80% CREDITO</t>
    </r>
  </si>
  <si>
    <r>
      <t>JMC 608, SANTIAGO</t>
    </r>
    <r>
      <rPr>
        <sz val="10"/>
        <color rgb="FF000000"/>
        <rFont val="Arial"/>
        <scheme val="minor"/>
      </rPr>
      <t xml:space="preserve"> </t>
    </r>
    <r>
      <rPr>
        <b/>
        <sz val="11"/>
        <color theme="1"/>
        <rFont val="Arial"/>
        <family val="2"/>
        <scheme val="minor"/>
      </rPr>
      <t>(SANTOLAYA)</t>
    </r>
  </si>
  <si>
    <r>
      <t xml:space="preserve">37 cuotas TOKU / ó 18 </t>
    </r>
    <r>
      <rPr>
        <sz val="10"/>
        <color rgb="FF000000"/>
        <rFont val="Arial"/>
        <scheme val="minor"/>
      </rPr>
      <t xml:space="preserve">cuotas sin interés tarejta crédito (max 15% del precio)  </t>
    </r>
  </si>
  <si>
    <t>PROMOCION 24 DIVIDENDOS (10% BONO PIE)</t>
  </si>
  <si>
    <t>PLAN ESPECIAL PIE EN HASTA 55 CUOTAS:  7% EN 37 CUOTAS CON TOKU + 3% CON 18 CUOTAS C/TC A LA ESCRITURA  + 10% 24D + 80% CH</t>
  </si>
  <si>
    <r>
      <t>BUZETA 4045, Cerrillos</t>
    </r>
    <r>
      <rPr>
        <sz val="10"/>
        <color rgb="FF000000"/>
        <rFont val="Arial"/>
        <scheme val="minor"/>
      </rPr>
      <t xml:space="preserve"> </t>
    </r>
    <r>
      <rPr>
        <b/>
        <sz val="11"/>
        <color theme="1"/>
        <rFont val="Arial"/>
        <family val="2"/>
        <scheme val="minor"/>
      </rPr>
      <t xml:space="preserve"> (Inmob. Lugano)</t>
    </r>
  </si>
  <si>
    <t>1er trimestre 2029</t>
  </si>
  <si>
    <r>
      <rPr>
        <b/>
        <sz val="11"/>
        <color theme="1"/>
        <rFont val="Arial"/>
        <family val="2"/>
        <scheme val="minor"/>
      </rPr>
      <t xml:space="preserve">36 </t>
    </r>
    <r>
      <rPr>
        <sz val="10"/>
        <color rgb="FF000000"/>
        <rFont val="Arial"/>
        <scheme val="minor"/>
      </rPr>
      <t xml:space="preserve">cuotas FORPAY / ó 18 cuotas sin interés tarejta crédito (max 20% del precio)  </t>
    </r>
  </si>
  <si>
    <r>
      <t xml:space="preserve">PLAN ESPECIAL PIE EN </t>
    </r>
    <r>
      <rPr>
        <b/>
        <sz val="11"/>
        <color rgb="FFFF0000"/>
        <rFont val="Arial"/>
        <family val="2"/>
        <scheme val="minor"/>
      </rPr>
      <t>54 CUOTAS LINEALES</t>
    </r>
    <r>
      <rPr>
        <b/>
        <sz val="11"/>
        <color theme="1"/>
        <rFont val="Arial"/>
        <family val="2"/>
        <scheme val="minor"/>
      </rPr>
      <t>: LAS PRIMERAS 36 CUOTAS CON FORPAY + 18 CUOTAS C/TC A LA ESCRITURA  + 10% 24D + 80% CREDITO</t>
    </r>
  </si>
  <si>
    <r>
      <t xml:space="preserve">ALTO HURTADO ET 2, </t>
    </r>
    <r>
      <rPr>
        <sz val="10"/>
        <color rgb="FF000000"/>
        <rFont val="Arial"/>
        <scheme val="minor"/>
      </rPr>
      <t>Padre Hurtado</t>
    </r>
    <r>
      <rPr>
        <b/>
        <sz val="11"/>
        <color theme="1"/>
        <rFont val="Arial"/>
        <family val="2"/>
        <scheme val="minor"/>
      </rPr>
      <t xml:space="preserve"> (70W)</t>
    </r>
  </si>
  <si>
    <r>
      <rPr>
        <b/>
        <sz val="11"/>
        <color theme="1"/>
        <rFont val="Arial"/>
        <family val="2"/>
        <scheme val="minor"/>
      </rPr>
      <t xml:space="preserve">1 a 3 </t>
    </r>
    <r>
      <rPr>
        <sz val="10"/>
        <color rgb="FF000000"/>
        <rFont val="Arial"/>
        <scheme val="minor"/>
      </rPr>
      <t xml:space="preserve">cuotas TOKU / ó </t>
    </r>
    <r>
      <rPr>
        <b/>
        <sz val="11"/>
        <color theme="1"/>
        <rFont val="Arial"/>
        <family val="2"/>
        <scheme val="minor"/>
      </rPr>
      <t xml:space="preserve"> 36 </t>
    </r>
    <r>
      <rPr>
        <sz val="10"/>
        <color rgb="FF000000"/>
        <rFont val="Arial"/>
        <scheme val="minor"/>
      </rPr>
      <t>cuotas sin interés tarjeta crédito (máx 20% del precio) (GETNET)</t>
    </r>
  </si>
  <si>
    <t>PROMOCION 12 DIVIDENDOS</t>
  </si>
  <si>
    <r>
      <t xml:space="preserve">PROMOCION PIE EN 60 CUOTAS -  DESCTO FINAL INCLUYE CUOTAS CREDITU A </t>
    </r>
    <r>
      <rPr>
        <b/>
        <sz val="11"/>
        <color rgb="FFFF0000"/>
        <rFont val="Arial"/>
        <family val="2"/>
        <scheme val="minor"/>
      </rPr>
      <t>EXCEPCION DE CASAS EN OFERTA EN QUE 25% DESCTO NO CONSIDERA CREDITU</t>
    </r>
  </si>
  <si>
    <t xml:space="preserve">CONSULTA OPORTUNIDADES CASAS EN OFERTA ETAPA 2, </t>
  </si>
  <si>
    <r>
      <t xml:space="preserve">ALTO HURTADO ET 3, </t>
    </r>
    <r>
      <rPr>
        <sz val="10"/>
        <color rgb="FF000000"/>
        <rFont val="Arial"/>
        <scheme val="minor"/>
      </rPr>
      <t>Padre Hurtado</t>
    </r>
    <r>
      <rPr>
        <b/>
        <sz val="11"/>
        <color theme="1"/>
        <rFont val="Arial"/>
        <family val="2"/>
        <scheme val="minor"/>
      </rPr>
      <t xml:space="preserve">  (70W)</t>
    </r>
  </si>
  <si>
    <t>1er Semestre 2028</t>
  </si>
  <si>
    <r>
      <rPr>
        <b/>
        <sz val="11"/>
        <color theme="1"/>
        <rFont val="Arial"/>
        <family val="2"/>
        <scheme val="minor"/>
      </rPr>
      <t xml:space="preserve">20 </t>
    </r>
    <r>
      <rPr>
        <sz val="10"/>
        <color rgb="FF000000"/>
        <rFont val="Arial"/>
        <scheme val="minor"/>
      </rPr>
      <t>cuotas TOKU / ó 36</t>
    </r>
    <r>
      <rPr>
        <b/>
        <sz val="11"/>
        <color theme="1"/>
        <rFont val="Arial"/>
        <family val="2"/>
        <scheme val="minor"/>
      </rPr>
      <t xml:space="preserve"> </t>
    </r>
    <r>
      <rPr>
        <sz val="10"/>
        <color rgb="FF000000"/>
        <rFont val="Arial"/>
        <scheme val="minor"/>
      </rPr>
      <t>cuotas sin interés tarjeta crédito (máx 20% del precio)(GETNET)</t>
    </r>
  </si>
  <si>
    <t>PAGO DEL PIE: 2% PROMESA + 13% EN 20 CUOTAS + 5% C/E ó 15% EN 21 CUOTAS + 5% C/E ó 10% EN 21 CUOTAS + 10% C/E + 80% CH</t>
  </si>
  <si>
    <t>(5% BONO PIE)</t>
  </si>
  <si>
    <r>
      <rPr>
        <b/>
        <sz val="11"/>
        <color theme="1"/>
        <rFont val="Arial"/>
        <family val="2"/>
        <scheme val="minor"/>
      </rPr>
      <t>PORTA HURTADO</t>
    </r>
    <r>
      <rPr>
        <sz val="10"/>
        <color rgb="FF000000"/>
        <rFont val="Arial"/>
        <scheme val="minor"/>
      </rPr>
      <t xml:space="preserve">, Padre Hurtado  </t>
    </r>
    <r>
      <rPr>
        <b/>
        <sz val="11"/>
        <color theme="1"/>
        <rFont val="Arial"/>
        <family val="2"/>
        <scheme val="minor"/>
      </rPr>
      <t>(70W)</t>
    </r>
  </si>
  <si>
    <t>Pronta Entrega</t>
  </si>
  <si>
    <t>A1 -Chilena pareada</t>
  </si>
  <si>
    <t>1er Semestre 2026</t>
  </si>
  <si>
    <r>
      <rPr>
        <b/>
        <sz val="11"/>
        <color theme="1"/>
        <rFont val="Arial"/>
        <family val="2"/>
        <scheme val="minor"/>
      </rPr>
      <t xml:space="preserve">2 </t>
    </r>
    <r>
      <rPr>
        <sz val="10"/>
        <color rgb="FF000000"/>
        <rFont val="Arial"/>
        <scheme val="minor"/>
      </rPr>
      <t xml:space="preserve">cuotas TOKU / ó </t>
    </r>
    <r>
      <rPr>
        <b/>
        <sz val="11"/>
        <color theme="1"/>
        <rFont val="Arial"/>
        <family val="2"/>
        <scheme val="minor"/>
      </rPr>
      <t>36</t>
    </r>
    <r>
      <rPr>
        <sz val="10"/>
        <color rgb="FF000000"/>
        <rFont val="Arial"/>
        <scheme val="minor"/>
      </rPr>
      <t xml:space="preserve"> cuotas sin interés tarjeta crédito (máx 20% del precio)(GETNET)</t>
    </r>
  </si>
  <si>
    <t>PLAN ESPECIAL PIE EN HASTA 38 CUOTAS: 2%CP + 8% EN 2 CUOTAS TOKU + 10% EN 36 C/TC CE + 80% CH</t>
  </si>
  <si>
    <t>A2 - Chilena pareada</t>
  </si>
  <si>
    <t>CENTRAL</t>
  </si>
  <si>
    <t>CONDICIONES DE VENTA</t>
  </si>
  <si>
    <t>CONDICIONES POR ZONA</t>
  </si>
  <si>
    <r>
      <t xml:space="preserve">FINANCIAMIENTOS 
</t>
    </r>
    <r>
      <rPr>
        <b/>
        <sz val="9"/>
        <color theme="0"/>
        <rFont val="Arial"/>
        <family val="2"/>
        <scheme val="minor"/>
      </rPr>
      <t>NO ACUMULABLES ENTRE SI</t>
    </r>
  </si>
  <si>
    <t>Proyectos</t>
  </si>
  <si>
    <t>Tipo de Entrega</t>
  </si>
  <si>
    <t>Pie Mínimo Exigido</t>
  </si>
  <si>
    <t>Financiamiento Bancario</t>
  </si>
  <si>
    <t>N° Cuotas (meses)</t>
  </si>
  <si>
    <t>Fecha de entrega / Máxima de pago</t>
  </si>
  <si>
    <t>Con getnet, paga tu pie en cuotas (MKTG)</t>
  </si>
  <si>
    <t>Alternativa pago de pie 10%</t>
  </si>
  <si>
    <t>Seguro de Cesantía</t>
  </si>
  <si>
    <t>BROKER</t>
  </si>
  <si>
    <t>6 DIVIDENDOS GRATIS</t>
  </si>
  <si>
    <t>24 DIVIDENDOS*</t>
  </si>
  <si>
    <t>ARRIENDO ASEGURADO 24 MESES</t>
  </si>
  <si>
    <t>CREDITO DIRECTO</t>
  </si>
  <si>
    <r>
      <t xml:space="preserve">KNOCKIT
</t>
    </r>
    <r>
      <rPr>
        <b/>
        <sz val="9"/>
        <color theme="0" tint="-4.9989318521683403E-2"/>
        <rFont val="Arial"/>
        <family val="2"/>
        <scheme val="minor"/>
      </rPr>
      <t>TU ARRIENDO ES TU PIE</t>
    </r>
  </si>
  <si>
    <t>10% o lo que no financie el Banco</t>
  </si>
  <si>
    <t>NO</t>
  </si>
  <si>
    <t xml:space="preserve"> Bodega  Obligatoria </t>
  </si>
  <si>
    <t>Pago con TC en 36 cuotas precio contado con getnet</t>
  </si>
  <si>
    <t>Si, con descuento máximo de un 10% para unidades principales, sin oportunidades, sin promociones, ni gifcards y sin deptos 204, 211, 302, 311, 1211.</t>
  </si>
  <si>
    <t>Estacionamientos desde 2D2B en adelante y Bodega disponible desde 2D1B en adelante, Deptos (202,203,207,208,209) van con Anexo 60 Dias</t>
  </si>
  <si>
    <t xml:space="preserve"> Estacionamiento y bodega disponible desde 2D/2B en adelante. 
Deptos (201,210,211,213,214,409,412,809,810,811 y 812) van con Anexo 60 Dias.</t>
  </si>
  <si>
    <t>SI (48 meses)</t>
  </si>
  <si>
    <t>Si, con descuento máximo de un 6% para unidades principales, sin oportunidades, ni gifcards</t>
  </si>
  <si>
    <t>1. Estacionamiento y bodega obligatoria 
2. Depto 1110 no va con subsidio a la tasa 
3.Anexo 60 dias para todas las unidades</t>
  </si>
  <si>
    <t>1. Sin estacionamientos ni bodegas disponibles
2.Anexo 60 dias para todas las unidades</t>
  </si>
  <si>
    <t>* 24 DIVIDENDOS</t>
  </si>
  <si>
    <t>Si el cliente opta por la promoción de 24 dividendos, el crédito directo debe ajustarse a un máximo de 24 cuotas.</t>
  </si>
  <si>
    <t>Edificio Francisco Zelada Torre A</t>
  </si>
  <si>
    <t>53 (17+36)</t>
  </si>
  <si>
    <t>En 53 cuotas (5% en 17 + 5% en 36):
17 cuotas + 1 cuoton final con getnet hasta en 36 cuotas</t>
  </si>
  <si>
    <t>Estacionamiento solo para 2D/2B
 Bodega 2D/1B en adelante</t>
  </si>
  <si>
    <t>KNOCKIT</t>
  </si>
  <si>
    <t xml:space="preserve">Incluye corretaje y administración gratis </t>
  </si>
  <si>
    <t>Edificio Francisco Zelada Torre B</t>
  </si>
  <si>
    <t>47 (11+36)</t>
  </si>
  <si>
    <t>En 47 cuotas (5% en 11 + 5% en 36):
11 cuotas + 1 cuoton final con getnet hasta en 36 cuotas</t>
  </si>
  <si>
    <t xml:space="preserve">Estacionamiento y bodega solo para 2D/1B en adelante  
</t>
  </si>
  <si>
    <t>FINANCIAMIENTOS</t>
  </si>
  <si>
    <t>- Se financia hasta un máximo del 10%.
- En un plazo de hasta 60 cuotas.
- Con una tasa de interés anual de 0,3%.</t>
  </si>
  <si>
    <t>1. Bodega y Estacionamiento obligatorio para departamentos 302-511-811
2. Depto 302 va amoblado y 311 sala de ventas.
3. Anexo de 60 días en todas las unidades</t>
  </si>
  <si>
    <t>1. Estacionamiento y bodega obligatoria
2. Depto 209,210, 211,305 van con Anexo 60 Dias.
3. Deptos 209,210,211 van con decoración.
4. Deptos 903,1303,1305,1505 van con anexo de 90 días.</t>
  </si>
  <si>
    <t>38 (2+36)</t>
  </si>
  <si>
    <t>En 38 cuotas (3% en 2 + 7% en 36):
2 cuota + 1 cuoton final con getnet hasta en 36 cuotas</t>
  </si>
  <si>
    <t>Estacionamiento y Bodega solo para  2D/ 2B 
Deptos (306, 308, 309, 311) van con Anexo 60 Dias</t>
  </si>
  <si>
    <t>Edificio Teresa Vial</t>
  </si>
  <si>
    <t>49 (13+36)</t>
  </si>
  <si>
    <t>En 49 cuotas (5% en 13 + 5% en 36):
13 cuotas + 1 cuoton final con getnet hasta en 36 cuotas</t>
  </si>
  <si>
    <t>Estacionamiento y Bodega Obligatoria</t>
  </si>
  <si>
    <t>Estacionamiento debe ser vendido junto con la ultima unidad disponible
2. Bodega obligatoria.
3. Anexo de 60 días para todas las unidades</t>
  </si>
  <si>
    <t>QUINTA</t>
  </si>
  <si>
    <t xml:space="preserve">No se puede vender Estacionamiento ni bodegas por separado // Estacionamientos solo para 3D2B // Depto. 204 con anexo 60 dias </t>
  </si>
  <si>
    <t>Edificio Alvarez Oriente</t>
  </si>
  <si>
    <t>En 54 cuotas (5% en 18 + 5% en 36):
18 cuotas + 1 cuoton final con getnet hasta en 36 cuotas</t>
  </si>
  <si>
    <t>Venta de estacionamientos bloqueada para detartamentos tipo 1D/1B (línea 01)</t>
  </si>
  <si>
    <t>Edificio Blanca Estela Torre A</t>
  </si>
  <si>
    <t>No se puede vender mas de un estacionamiento por departamento</t>
  </si>
  <si>
    <r>
      <t xml:space="preserve">SI
</t>
    </r>
    <r>
      <rPr>
        <sz val="10"/>
        <rFont val="Arial"/>
        <family val="2"/>
        <scheme val="minor"/>
      </rPr>
      <t>(Tope 5%)</t>
    </r>
  </si>
  <si>
    <t>Edificio Blanca Estela Torre B</t>
  </si>
  <si>
    <t>Edificio Parque Urbano oficinas</t>
  </si>
  <si>
    <t>Parque Marañon Torre A</t>
  </si>
  <si>
    <t>39 (3+36)</t>
  </si>
  <si>
    <t>En 39 cuotas (5% en 3 + 5% en 36):
3 cuotas + 1 cuoton final con getnet hasta en 36 cuotas</t>
  </si>
  <si>
    <t>Estacionamiento y Bodega Obligatoria // Segunda Bodega 50 % de descuento</t>
  </si>
  <si>
    <t>TOPES GOP</t>
  </si>
  <si>
    <t>TOPES 6 DIVIDENDOS</t>
  </si>
  <si>
    <t>TOPE GOP VALORIZACION</t>
  </si>
  <si>
    <t>VALORIZACION</t>
  </si>
  <si>
    <t>Ejemplo</t>
  </si>
  <si>
    <t>Edificio Lynch (oficinas)</t>
  </si>
  <si>
    <t>Edificio Parque Urbano (Oficinas)</t>
  </si>
  <si>
    <t>Edificio Blanca Estela torre A y B</t>
  </si>
  <si>
    <t xml:space="preserve">2190 UF x 0,1 = 219 UF </t>
  </si>
  <si>
    <t>Parque Urbano (oficinas)</t>
  </si>
  <si>
    <t>Edificio Blanca Estela torre  B</t>
  </si>
  <si>
    <t xml:space="preserve">Zona Central </t>
  </si>
  <si>
    <r>
      <t xml:space="preserve">Valorización </t>
    </r>
    <r>
      <rPr>
        <sz val="11"/>
        <color indexed="8"/>
        <rFont val="Calibri"/>
        <family val="2"/>
      </rPr>
      <t xml:space="preserve">÷ </t>
    </r>
    <r>
      <rPr>
        <sz val="10"/>
        <color rgb="FF000000"/>
        <rFont val="Arial"/>
        <scheme val="minor"/>
      </rPr>
      <t>24</t>
    </r>
    <r>
      <rPr>
        <sz val="11"/>
        <rFont val="Calibri"/>
        <family val="2"/>
      </rPr>
      <t xml:space="preserve"> meses</t>
    </r>
  </si>
  <si>
    <t xml:space="preserve">Ej: </t>
  </si>
  <si>
    <t>Zona</t>
  </si>
  <si>
    <t>Direccion</t>
  </si>
  <si>
    <t>ASSETPLAN Valor oficial</t>
  </si>
  <si>
    <t>KNOCKIT Valor Referencial</t>
  </si>
  <si>
    <t>NORTE</t>
  </si>
  <si>
    <t>12 de Febrero 850</t>
  </si>
  <si>
    <t>Sotomayor 415</t>
  </si>
  <si>
    <t>Loa 4756</t>
  </si>
  <si>
    <t>Av. Jaime Guzmán 04080</t>
  </si>
  <si>
    <t>Manuel Jesús Rivera 100,</t>
  </si>
  <si>
    <t>Sendero Norte 50</t>
  </si>
  <si>
    <r>
      <rPr>
        <b/>
        <u/>
        <sz val="11"/>
        <color rgb="FF000000"/>
        <rFont val="Arial"/>
        <family val="2"/>
        <scheme val="minor"/>
      </rPr>
      <t xml:space="preserve">DESGLOSE PROGRAMA
</t>
    </r>
    <r>
      <rPr>
        <sz val="11"/>
        <color rgb="FF000000"/>
        <rFont val="Arial"/>
        <family val="2"/>
        <scheme val="minor"/>
      </rPr>
      <t xml:space="preserve">
</t>
    </r>
    <r>
      <rPr>
        <b/>
        <sz val="11"/>
        <color rgb="FF000000"/>
        <rFont val="Arial"/>
        <family val="2"/>
        <scheme val="minor"/>
      </rPr>
      <t xml:space="preserve">D: </t>
    </r>
    <r>
      <rPr>
        <sz val="11"/>
        <color rgb="FF000000"/>
        <rFont val="Arial"/>
        <family val="2"/>
        <scheme val="minor"/>
      </rPr>
      <t xml:space="preserve">Cantidad de Dormitorios
</t>
    </r>
    <r>
      <rPr>
        <b/>
        <sz val="11"/>
        <color rgb="FF000000"/>
        <rFont val="Arial"/>
        <family val="2"/>
        <scheme val="minor"/>
      </rPr>
      <t>B:</t>
    </r>
    <r>
      <rPr>
        <sz val="11"/>
        <color rgb="FF000000"/>
        <rFont val="Arial"/>
        <family val="2"/>
        <scheme val="minor"/>
      </rPr>
      <t xml:space="preserve"> Cantidad de Baños
</t>
    </r>
    <r>
      <rPr>
        <b/>
        <sz val="11"/>
        <color rgb="FF000000"/>
        <rFont val="Arial"/>
        <family val="2"/>
        <scheme val="minor"/>
      </rPr>
      <t xml:space="preserve">CK: </t>
    </r>
    <r>
      <rPr>
        <sz val="11"/>
        <color rgb="FF000000"/>
        <rFont val="Arial"/>
        <family val="2"/>
        <scheme val="minor"/>
      </rPr>
      <t xml:space="preserve">Cocina Kitchen
</t>
    </r>
    <r>
      <rPr>
        <b/>
        <sz val="11"/>
        <color rgb="FF000000"/>
        <rFont val="Arial"/>
        <family val="2"/>
        <scheme val="minor"/>
      </rPr>
      <t>CI:</t>
    </r>
    <r>
      <rPr>
        <sz val="11"/>
        <color rgb="FF000000"/>
        <rFont val="Arial"/>
        <family val="2"/>
        <scheme val="minor"/>
      </rPr>
      <t xml:space="preserve"> Cocina Integrada
</t>
    </r>
    <r>
      <rPr>
        <b/>
        <sz val="11"/>
        <color rgb="FF000000"/>
        <rFont val="Arial"/>
        <family val="2"/>
        <scheme val="minor"/>
      </rPr>
      <t>CC:</t>
    </r>
    <r>
      <rPr>
        <sz val="11"/>
        <color rgb="FF000000"/>
        <rFont val="Arial"/>
        <family val="2"/>
        <scheme val="minor"/>
      </rPr>
      <t xml:space="preserve"> Cocina Cerrada
</t>
    </r>
    <r>
      <rPr>
        <b/>
        <sz val="11"/>
        <color rgb="FF000000"/>
        <rFont val="Arial"/>
        <family val="2"/>
        <scheme val="minor"/>
      </rPr>
      <t>C:</t>
    </r>
    <r>
      <rPr>
        <sz val="11"/>
        <color rgb="FF000000"/>
        <rFont val="Arial"/>
        <family val="2"/>
        <scheme val="minor"/>
      </rPr>
      <t xml:space="preserve"> Cantidad de plazas (camas de 1 plaza)
</t>
    </r>
    <r>
      <rPr>
        <b/>
        <sz val="11"/>
        <color rgb="FF000000"/>
        <rFont val="Arial"/>
        <family val="2"/>
        <scheme val="minor"/>
      </rPr>
      <t>M:</t>
    </r>
    <r>
      <rPr>
        <sz val="11"/>
        <color rgb="FF000000"/>
        <rFont val="Arial"/>
        <family val="2"/>
        <scheme val="minor"/>
      </rPr>
      <t xml:space="preserve"> Mariposa
</t>
    </r>
    <r>
      <rPr>
        <b/>
        <sz val="11"/>
        <color rgb="FFC00000"/>
        <rFont val="Arial"/>
        <family val="2"/>
        <scheme val="minor"/>
      </rPr>
      <t xml:space="preserve">Ejemplo: 2D/2B/CK/4C/M
</t>
    </r>
    <r>
      <rPr>
        <sz val="11"/>
        <color rgb="FF000000"/>
        <rFont val="Arial"/>
        <family val="2"/>
        <scheme val="minor"/>
      </rPr>
      <t xml:space="preserve">
Unidad con 2 dormitorios 2 baños, cocina kitchen, en cada dormitorio caben 2 plazas y es estilo mariposa</t>
    </r>
  </si>
  <si>
    <t>Altos de viña 235</t>
  </si>
  <si>
    <t>Blanca Estela 2239</t>
  </si>
  <si>
    <t>Navío San Martin 315</t>
  </si>
  <si>
    <t>Coronel Souper 4438</t>
  </si>
  <si>
    <t>EDIFICIO FRANCISCO ZELADA 
TORRE A Y B</t>
  </si>
  <si>
    <t>CONDOMINIO JORGE CÁCERES 
ETAPA 2</t>
  </si>
  <si>
    <t>Jorge Caceres 503</t>
  </si>
  <si>
    <t>Trinidad Ramirez 24</t>
  </si>
  <si>
    <t>Briones Luco 077</t>
  </si>
  <si>
    <t>Lia Aguirre 155</t>
  </si>
  <si>
    <t>Castillo Urizar 1845</t>
  </si>
  <si>
    <t>Guillermo Mann 1751</t>
  </si>
  <si>
    <t>Departamental 960</t>
  </si>
  <si>
    <t>PEDRO DE LA BARRA</t>
  </si>
  <si>
    <t>Garcia Reyes 76</t>
  </si>
  <si>
    <t>1D/1B/CI/2C</t>
  </si>
  <si>
    <t>Condiciones de ventas Abril 2026</t>
  </si>
  <si>
    <t>10 UF</t>
  </si>
  <si>
    <t>Solo estos deptos 714/1701/1801 tienen derecho a estacionamiento</t>
  </si>
  <si>
    <t xml:space="preserve">Toku                                                                                                                               </t>
  </si>
  <si>
    <t xml:space="preserve">No posee </t>
  </si>
  <si>
    <t xml:space="preserve">* Toku                                                                                                                                                                               *Getnet (hasta 24 cuotas sin intereses)                                                                                                                          </t>
  </si>
  <si>
    <t>25% 1D+1D/Estudio                                                20% en el resto</t>
  </si>
  <si>
    <t xml:space="preserve">* Toku                                                                                                                                                                               *Getnet (hasta 36 cuotas sin intereses)                                                                                                                          </t>
  </si>
  <si>
    <t>2D+2B Opcional /                  1D+1B No tiene derecho</t>
  </si>
  <si>
    <t xml:space="preserve"> Estudio No tiene derecho</t>
  </si>
  <si>
    <t xml:space="preserve">Forma de pago : Las 60 cuotas con creditú,  36 cuotas sin interés para todas las tarjetas excepto Banco Estado y Banco de Chile, Banco Estado serían 24 cuotas sin interés y Banco Chile sería 18 cuotas sin interés.
</t>
  </si>
  <si>
    <t xml:space="preserve">1 a 1 </t>
  </si>
  <si>
    <t>Crédito en hasta 36 cuotas
1er arriendo sin comisión de corretaje o 3 meses de administración asegurada contratando plan black por 18 meses
Gift Card de $200.000 por escritura en unidad principal y de $300.000 por unidad principal + estacionamiento y bodega</t>
  </si>
  <si>
    <t>1er arriendo sin comisión de corretaje o 3 meses de administración asegurada contratando plan black por 18 meses
Venta de depto + estacionamiento + bodega con gift card para el broker de $1.000.000</t>
  </si>
  <si>
    <t>No aplica a beneficios DFL2
Crédito en hasta 36 cuotas. Gift Card de $1.000.000 para el broker</t>
  </si>
  <si>
    <t>1er arriendo sin comisión de corretaje o 3 meses de administración asegurada contratando plan black por 18 meses
Gift Card de $200.000 por escritura en unidad principal y de $300.000 por unidad principal + estacionamiento y bodega</t>
  </si>
  <si>
    <t>Crédito y arriendo garantizado en paralaleo hasta el 30/06/2031)
Para aprobaciones al 90% el 10% de aporte se debe usar OBLIGATORIAMENTE como descuento
Gift card de $100.000 en caso de financiamiento con BCI o Santander</t>
  </si>
  <si>
    <t>Serrano (SER)</t>
  </si>
  <si>
    <t>Crédito y arriendo garantizado en paralaleo hasta el 30/06/2031)</t>
  </si>
  <si>
    <t>Vicuña Mackenna 7589 (VIC y VIC2)</t>
  </si>
  <si>
    <t>Est. Central</t>
  </si>
  <si>
    <t>ViMA (VIMA)</t>
  </si>
  <si>
    <t>2do semestre 2029</t>
  </si>
  <si>
    <t>Entrega futura</t>
  </si>
  <si>
    <r>
      <t>Pago reserva</t>
    </r>
    <r>
      <rPr>
        <b/>
        <vertAlign val="superscript"/>
        <sz val="10"/>
        <color rgb="FFFFFFFF"/>
        <rFont val="Calibri (Cuerpo)"/>
      </rPr>
      <t>2</t>
    </r>
  </si>
  <si>
    <r>
      <t>Cuotas Pie (Periodo Const.)</t>
    </r>
    <r>
      <rPr>
        <b/>
        <vertAlign val="superscript"/>
        <sz val="10"/>
        <color rgb="FFFFFFFF"/>
        <rFont val="Calibri (Cuerpo)"/>
      </rPr>
      <t>1</t>
    </r>
  </si>
  <si>
    <r>
      <t>Pie (Periodo Construccion)</t>
    </r>
    <r>
      <rPr>
        <b/>
        <vertAlign val="superscript"/>
        <sz val="10"/>
        <color rgb="FFFFFFFF"/>
        <rFont val="Calibri (Cuerpo)"/>
      </rPr>
      <t>3</t>
    </r>
  </si>
  <si>
    <r>
      <t>Pie Credito Sin Intereses</t>
    </r>
    <r>
      <rPr>
        <b/>
        <vertAlign val="superscript"/>
        <sz val="10"/>
        <color rgb="FFFFFFFF"/>
        <rFont val="Calibri (Cuerpo)"/>
      </rPr>
      <t>8, 9 y 10</t>
    </r>
  </si>
  <si>
    <r>
      <t>Pronto 
Pago</t>
    </r>
    <r>
      <rPr>
        <b/>
        <vertAlign val="superscript"/>
        <sz val="10"/>
        <color rgb="FFFFFFFF"/>
        <rFont val="Calibri (Cuerpo)"/>
      </rPr>
      <t>11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</si>
</sst>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2">
    <numFmt numFmtId="5" formatCode="&quot;$&quot;#,##0;&quot;$&quot;\-#,##0"/>
    <numFmt numFmtId="6" formatCode="&quot;$&quot;#,##0;[Red]&quot;$&quot;\-#,##0"/>
    <numFmt numFmtId="42" formatCode="_ &quot;$&quot;* #,##0_ ;_ &quot;$&quot;* \-#,##0_ ;_ &quot;$&quot;* &quot;-&quot;_ ;_ @_ "/>
    <numFmt numFmtId="41" formatCode="_ * #,##0_ ;_ * \-#,##0_ ;_ * &quot;-&quot;_ ;_ @_ "/>
    <numFmt numFmtId="43" formatCode="_ * #,##0.00_ ;_ * \-#,##0.00_ ;_ * &quot;-&quot;??_ ;_ @_ "/>
    <numFmt numFmtId="167" formatCode="0.0%"/>
    <numFmt numFmtId="168" formatCode="[$$]#,##0"/>
    <numFmt numFmtId="169" formatCode="&quot;$&quot;#,##0"/>
    <numFmt numFmtId="170" formatCode="0.0"/>
    <numFmt numFmtId="175" formatCode="d/m/yyyy"/>
    <numFmt numFmtId="177" formatCode="_-* #,##0_-;\-* #,##0_-;_-* &quot;-&quot;??_-;_-@_-"/>
    <numFmt numFmtId="178" formatCode="_ * #,##0.0_ ;_ * \-#,##0.0_ ;_ * &quot;-&quot;?_ ;_ @_ "/>
  </numFmts>
  <fonts count="9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0"/>
      <color theme="1"/>
      <name val="Arial"/>
    </font>
    <font>
      <sz val="10"/>
      <name val="Arial"/>
    </font>
    <font>
      <b/>
      <sz val="12"/>
      <color rgb="FF3200C1"/>
      <name val="Nunito"/>
    </font>
    <font>
      <sz val="12"/>
      <color theme="1"/>
      <name val="Nunito"/>
    </font>
    <font>
      <sz val="14"/>
      <color rgb="FF3200C1"/>
      <name val="Nunito"/>
    </font>
    <font>
      <b/>
      <sz val="12"/>
      <color theme="1"/>
      <name val="Nunito"/>
    </font>
    <font>
      <u/>
      <sz val="10"/>
      <color theme="10"/>
      <name val="Arial"/>
      <scheme val="minor"/>
    </font>
    <font>
      <sz val="10"/>
      <color rgb="FF000000"/>
      <name val="Arial"/>
      <scheme val="minor"/>
    </font>
    <font>
      <b/>
      <sz val="11"/>
      <color theme="0"/>
      <name val="Arial"/>
      <family val="2"/>
      <scheme val="minor"/>
    </font>
    <font>
      <sz val="11"/>
      <color rgb="FFFF0000"/>
      <name val="Arial"/>
      <family val="2"/>
      <scheme val="minor"/>
    </font>
    <font>
      <b/>
      <sz val="11"/>
      <color theme="1"/>
      <name val="Arial"/>
      <family val="2"/>
      <scheme val="minor"/>
    </font>
    <font>
      <sz val="11"/>
      <color theme="0"/>
      <name val="Arial"/>
      <family val="2"/>
      <scheme val="minor"/>
    </font>
    <font>
      <sz val="10"/>
      <color theme="1"/>
      <name val="Arial"/>
      <family val="2"/>
    </font>
    <font>
      <sz val="16"/>
      <color theme="1"/>
      <name val="Arial"/>
      <family val="2"/>
      <scheme val="minor"/>
    </font>
    <font>
      <b/>
      <u/>
      <sz val="11"/>
      <name val="Arial"/>
      <family val="2"/>
      <scheme val="minor"/>
    </font>
    <font>
      <b/>
      <sz val="10"/>
      <name val="Arial"/>
      <family val="2"/>
    </font>
    <font>
      <sz val="10"/>
      <color theme="1"/>
      <name val="Arial"/>
      <family val="2"/>
      <scheme val="minor"/>
    </font>
    <font>
      <b/>
      <sz val="11"/>
      <color rgb="FFFF0000"/>
      <name val="Arial"/>
      <family val="2"/>
      <scheme val="minor"/>
    </font>
    <font>
      <b/>
      <sz val="10"/>
      <color theme="1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b/>
      <sz val="12"/>
      <color theme="1"/>
      <name val="Arial"/>
      <family val="2"/>
      <scheme val="minor"/>
    </font>
    <font>
      <b/>
      <sz val="10"/>
      <color rgb="FFFF0000"/>
      <name val="Arial"/>
      <family val="2"/>
    </font>
    <font>
      <sz val="11"/>
      <color rgb="FF000000"/>
      <name val="Calibri"/>
      <family val="2"/>
    </font>
    <font>
      <i/>
      <sz val="11"/>
      <color theme="1"/>
      <name val="Arial"/>
      <family val="2"/>
      <scheme val="minor"/>
    </font>
    <font>
      <b/>
      <i/>
      <sz val="11"/>
      <color theme="1"/>
      <name val="Arial"/>
      <family val="2"/>
      <scheme val="minor"/>
    </font>
    <font>
      <u/>
      <sz val="11"/>
      <color theme="1"/>
      <name val="Arial"/>
      <family val="2"/>
      <scheme val="minor"/>
    </font>
    <font>
      <b/>
      <u/>
      <sz val="11"/>
      <color theme="10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i/>
      <sz val="1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6"/>
      <name val="Arial"/>
      <family val="2"/>
      <scheme val="minor"/>
    </font>
    <font>
      <b/>
      <sz val="11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11"/>
      <color rgb="FFED0000"/>
      <name val="Arial"/>
      <family val="2"/>
      <scheme val="minor"/>
    </font>
    <font>
      <b/>
      <sz val="16"/>
      <color rgb="FFFF0000"/>
      <name val="Arial"/>
      <family val="2"/>
      <scheme val="minor"/>
    </font>
    <font>
      <b/>
      <sz val="18"/>
      <name val="Arial"/>
      <family val="2"/>
      <scheme val="minor"/>
    </font>
    <font>
      <b/>
      <sz val="20"/>
      <color theme="1"/>
      <name val="Arial"/>
      <family val="2"/>
      <scheme val="minor"/>
    </font>
    <font>
      <b/>
      <sz val="14"/>
      <name val="Arial"/>
      <family val="2"/>
      <scheme val="minor"/>
    </font>
    <font>
      <sz val="11"/>
      <name val="Arial"/>
      <family val="2"/>
      <scheme val="minor"/>
    </font>
    <font>
      <b/>
      <sz val="12"/>
      <color rgb="FFFF0000"/>
      <name val="Arial"/>
      <family val="2"/>
      <scheme val="minor"/>
    </font>
    <font>
      <sz val="14"/>
      <name val="Arial"/>
      <family val="2"/>
      <scheme val="minor"/>
    </font>
    <font>
      <b/>
      <sz val="14"/>
      <color rgb="FFFF3300"/>
      <name val="Arial"/>
      <family val="2"/>
      <scheme val="minor"/>
    </font>
    <font>
      <b/>
      <sz val="14"/>
      <color rgb="FF00B050"/>
      <name val="Arial"/>
      <family val="2"/>
      <scheme val="minor"/>
    </font>
    <font>
      <sz val="12"/>
      <color theme="1"/>
      <name val="Arial"/>
      <family val="2"/>
      <scheme val="minor"/>
    </font>
    <font>
      <sz val="11"/>
      <color rgb="FFED0000"/>
      <name val="Arial"/>
      <family val="2"/>
      <scheme val="minor"/>
    </font>
    <font>
      <b/>
      <sz val="24"/>
      <color rgb="FFED0000"/>
      <name val="Arial"/>
      <family val="2"/>
      <scheme val="minor"/>
    </font>
    <font>
      <sz val="10"/>
      <name val="Arial"/>
      <family val="2"/>
    </font>
    <font>
      <b/>
      <sz val="14"/>
      <color theme="0"/>
      <name val="Arial"/>
      <family val="2"/>
      <scheme val="minor"/>
    </font>
    <font>
      <b/>
      <sz val="9"/>
      <color theme="0"/>
      <name val="Arial"/>
      <family val="2"/>
    </font>
    <font>
      <b/>
      <sz val="9"/>
      <color theme="0"/>
      <name val="Arial"/>
      <family val="2"/>
      <scheme val="minor"/>
    </font>
    <font>
      <b/>
      <sz val="11"/>
      <color rgb="FFF2F2F2"/>
      <name val="Calibri"/>
      <family val="2"/>
    </font>
    <font>
      <b/>
      <sz val="11"/>
      <color theme="0" tint="-4.9989318521683403E-2"/>
      <name val="Arial"/>
      <family val="2"/>
      <scheme val="minor"/>
    </font>
    <font>
      <b/>
      <sz val="9"/>
      <color theme="0" tint="-4.9989318521683403E-2"/>
      <name val="Arial"/>
      <family val="2"/>
      <scheme val="minor"/>
    </font>
    <font>
      <b/>
      <sz val="11"/>
      <color theme="0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0"/>
      <color rgb="FF000000"/>
      <name val="Calibri"/>
      <family val="2"/>
    </font>
    <font>
      <sz val="10"/>
      <name val="Arial"/>
      <family val="2"/>
      <scheme val="minor"/>
    </font>
    <font>
      <b/>
      <sz val="11"/>
      <color rgb="FFC00000"/>
      <name val="Calibri"/>
      <family val="2"/>
    </font>
    <font>
      <b/>
      <sz val="11"/>
      <color rgb="FF000000"/>
      <name val="Calibri"/>
      <family val="2"/>
    </font>
    <font>
      <sz val="11"/>
      <color indexed="8"/>
      <name val="Calibri"/>
      <family val="2"/>
    </font>
    <font>
      <b/>
      <sz val="10"/>
      <color rgb="FFFFFFFF"/>
      <name val="Calibri"/>
      <family val="2"/>
    </font>
    <font>
      <b/>
      <sz val="10"/>
      <name val="Calibri"/>
      <family val="2"/>
    </font>
    <font>
      <b/>
      <sz val="11"/>
      <color rgb="FFFFFFFF"/>
      <name val="Calibri"/>
      <family val="2"/>
    </font>
    <font>
      <b/>
      <sz val="10"/>
      <color rgb="FF000000"/>
      <name val="Calibri"/>
      <family val="2"/>
    </font>
    <font>
      <sz val="10"/>
      <name val="Calibri"/>
      <family val="2"/>
    </font>
    <font>
      <b/>
      <u/>
      <sz val="11"/>
      <color rgb="FF000000"/>
      <name val="Arial"/>
      <family val="2"/>
      <scheme val="minor"/>
    </font>
    <font>
      <sz val="11"/>
      <color rgb="FF000000"/>
      <name val="Arial"/>
      <family val="2"/>
      <scheme val="minor"/>
    </font>
    <font>
      <b/>
      <sz val="11"/>
      <color rgb="FF000000"/>
      <name val="Arial"/>
      <family val="2"/>
      <scheme val="minor"/>
    </font>
    <font>
      <b/>
      <sz val="11"/>
      <color rgb="FFC00000"/>
      <name val="Arial"/>
      <family val="2"/>
      <scheme val="minor"/>
    </font>
    <font>
      <b/>
      <sz val="9"/>
      <color indexed="81"/>
      <name val="Tahoma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b/>
      <sz val="14"/>
      <color rgb="FF000000"/>
      <name val="Aptos Narrow"/>
      <family val="2"/>
    </font>
    <font>
      <sz val="11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b/>
      <sz val="10"/>
      <color theme="0"/>
      <name val="Arial"/>
      <family val="2"/>
      <scheme val="minor"/>
    </font>
    <font>
      <b/>
      <vertAlign val="superscript"/>
      <sz val="10"/>
      <color rgb="FFFFFFFF"/>
      <name val="Calibri (Cuerpo)"/>
    </font>
    <font>
      <sz val="9"/>
      <color rgb="FF000000"/>
      <name val="Calibri"/>
      <family val="2"/>
    </font>
    <font>
      <sz val="12"/>
      <color theme="1"/>
      <name val="Calibri"/>
      <family val="2"/>
    </font>
    <font>
      <b/>
      <u/>
      <sz val="14"/>
      <color rgb="FF000000"/>
      <name val="Arial"/>
      <family val="2"/>
    </font>
    <font>
      <sz val="14"/>
      <color rgb="FF000000"/>
      <name val="Calibri"/>
      <family val="2"/>
    </font>
    <font>
      <b/>
      <u/>
      <sz val="14"/>
      <color rgb="FFFFFFFF"/>
      <name val="Calibri"/>
      <family val="2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</fonts>
  <fills count="5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A4C2F4"/>
        <bgColor rgb="FFA4C2F4"/>
      </patternFill>
    </fill>
    <fill>
      <patternFill patternType="solid">
        <fgColor rgb="FFFFFFFF"/>
        <bgColor rgb="FFFFFFFF"/>
      </patternFill>
    </fill>
    <fill>
      <patternFill patternType="solid">
        <fgColor rgb="FF37FFDB"/>
        <bgColor rgb="FF37FFDB"/>
      </patternFill>
    </fill>
    <fill>
      <patternFill patternType="solid">
        <fgColor rgb="FFA6C9EB"/>
        <bgColor rgb="FFA6C9EB"/>
      </patternFill>
    </fill>
    <fill>
      <patternFill patternType="solid">
        <fgColor rgb="FF305496"/>
        <bgColor rgb="FF305496"/>
      </patternFill>
    </fill>
    <fill>
      <patternFill patternType="solid">
        <fgColor rgb="FFD9E1F2"/>
        <bgColor rgb="FFD9E1F2"/>
      </patternFill>
    </fill>
    <fill>
      <patternFill patternType="solid">
        <fgColor rgb="FF8EA9DB"/>
        <bgColor rgb="FF8EA9DB"/>
      </patternFill>
    </fill>
    <fill>
      <patternFill patternType="solid">
        <fgColor rgb="FF83CAEB"/>
        <bgColor rgb="FF83CAEB"/>
      </patternFill>
    </fill>
    <fill>
      <patternFill patternType="solid">
        <fgColor rgb="FF83CCEB"/>
        <bgColor rgb="FF83CCEB"/>
      </patternFill>
    </fill>
    <fill>
      <patternFill patternType="solid">
        <fgColor theme="0"/>
        <bgColor indexed="64"/>
      </patternFill>
    </fill>
    <fill>
      <patternFill patternType="solid">
        <fgColor theme="3" tint="0.749992370372631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AF2D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B5E6A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6C6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3" tint="-0.499984740745262"/>
        <bgColor rgb="FF000000"/>
      </patternFill>
    </fill>
    <fill>
      <patternFill patternType="solid">
        <fgColor rgb="FFC00000"/>
        <bgColor indexed="64"/>
      </patternFill>
    </fill>
    <fill>
      <patternFill patternType="solid">
        <fgColor rgb="FF00BC00"/>
        <bgColor indexed="64"/>
      </patternFill>
    </fill>
    <fill>
      <patternFill patternType="solid">
        <fgColor rgb="FFC65911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C6C6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-0.499984740745262"/>
        <bgColor rgb="FF000000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-0.249977111117893"/>
        <bgColor rgb="FF000000"/>
      </patternFill>
    </fill>
    <fill>
      <patternFill patternType="solid">
        <fgColor rgb="FFCCCCFF"/>
        <bgColor rgb="FF000000"/>
      </patternFill>
    </fill>
    <fill>
      <patternFill patternType="solid">
        <fgColor rgb="FFCCCCFF"/>
        <bgColor indexed="64"/>
      </patternFill>
    </fill>
    <fill>
      <patternFill patternType="solid">
        <fgColor rgb="FFA9D08E"/>
        <bgColor rgb="FF305496"/>
      </patternFill>
    </fill>
    <fill>
      <patternFill patternType="solid">
        <fgColor rgb="FF0070C0"/>
        <bgColor rgb="FF305496"/>
      </patternFill>
    </fill>
    <fill>
      <patternFill patternType="solid">
        <fgColor rgb="FF1F4E78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002060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C6E0B4"/>
        <bgColor rgb="FF000000"/>
      </patternFill>
    </fill>
  </fills>
  <borders count="117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/>
      <bottom/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theme="0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FFFFFF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FFFFFF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4">
    <xf numFmtId="0" fontId="0" fillId="0" borderId="0"/>
    <xf numFmtId="0" fontId="8" fillId="0" borderId="0" applyNumberFormat="0" applyFill="0" applyBorder="0" applyAlignment="0" applyProtection="0"/>
    <xf numFmtId="43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2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50" fillId="0" borderId="13"/>
    <xf numFmtId="0" fontId="50" fillId="0" borderId="13"/>
    <xf numFmtId="42" fontId="50" fillId="0" borderId="13" applyFont="0" applyFill="0" applyBorder="0" applyAlignment="0" applyProtection="0"/>
    <xf numFmtId="0" fontId="50" fillId="0" borderId="13"/>
    <xf numFmtId="42" fontId="1" fillId="0" borderId="13" applyFont="0" applyFill="0" applyBorder="0" applyAlignment="0" applyProtection="0"/>
    <xf numFmtId="0" fontId="1" fillId="0" borderId="13"/>
    <xf numFmtId="42" fontId="1" fillId="0" borderId="13" applyFont="0" applyFill="0" applyBorder="0" applyAlignment="0" applyProtection="0"/>
    <xf numFmtId="9" fontId="1" fillId="0" borderId="13" applyFont="0" applyFill="0" applyBorder="0" applyAlignment="0" applyProtection="0"/>
  </cellStyleXfs>
  <cellXfs count="929">
    <xf numFmtId="0" fontId="0" fillId="0" borderId="0" xfId="0"/>
    <xf numFmtId="0" fontId="2" fillId="0" borderId="1" xfId="0" applyFont="1" applyBorder="1"/>
    <xf numFmtId="0" fontId="4" fillId="0" borderId="1" xfId="0" applyFont="1" applyBorder="1"/>
    <xf numFmtId="0" fontId="5" fillId="0" borderId="1" xfId="0" applyFont="1" applyBorder="1" applyAlignment="1">
      <alignment horizontal="right"/>
    </xf>
    <xf numFmtId="167" fontId="2" fillId="0" borderId="1" xfId="0" applyNumberFormat="1" applyFont="1" applyBorder="1"/>
    <xf numFmtId="168" fontId="2" fillId="0" borderId="1" xfId="0" applyNumberFormat="1" applyFont="1" applyBorder="1"/>
    <xf numFmtId="9" fontId="2" fillId="0" borderId="1" xfId="0" applyNumberFormat="1" applyFont="1" applyBorder="1"/>
    <xf numFmtId="4" fontId="5" fillId="0" borderId="1" xfId="0" applyNumberFormat="1" applyFont="1" applyBorder="1" applyAlignment="1">
      <alignment horizontal="right"/>
    </xf>
    <xf numFmtId="10" fontId="5" fillId="0" borderId="1" xfId="0" applyNumberFormat="1" applyFont="1" applyBorder="1" applyAlignment="1">
      <alignment horizontal="right"/>
    </xf>
    <xf numFmtId="168" fontId="5" fillId="0" borderId="1" xfId="0" applyNumberFormat="1" applyFont="1" applyBorder="1" applyAlignment="1">
      <alignment horizontal="right"/>
    </xf>
    <xf numFmtId="10" fontId="2" fillId="0" borderId="1" xfId="0" applyNumberFormat="1" applyFont="1" applyBorder="1"/>
    <xf numFmtId="0" fontId="5" fillId="0" borderId="1" xfId="0" applyFont="1" applyBorder="1"/>
    <xf numFmtId="2" fontId="5" fillId="0" borderId="1" xfId="0" applyNumberFormat="1" applyFont="1" applyBorder="1" applyAlignment="1">
      <alignment horizontal="right"/>
    </xf>
    <xf numFmtId="2" fontId="2" fillId="0" borderId="1" xfId="0" applyNumberFormat="1" applyFont="1" applyBorder="1"/>
    <xf numFmtId="9" fontId="5" fillId="0" borderId="1" xfId="0" applyNumberFormat="1" applyFont="1" applyBorder="1" applyAlignment="1">
      <alignment horizontal="right"/>
    </xf>
    <xf numFmtId="167" fontId="5" fillId="0" borderId="1" xfId="0" applyNumberFormat="1" applyFont="1" applyBorder="1" applyAlignment="1">
      <alignment horizontal="right"/>
    </xf>
    <xf numFmtId="3" fontId="2" fillId="5" borderId="1" xfId="0" applyNumberFormat="1" applyFont="1" applyFill="1" applyBorder="1"/>
    <xf numFmtId="4" fontId="2" fillId="5" borderId="1" xfId="0" applyNumberFormat="1" applyFont="1" applyFill="1" applyBorder="1"/>
    <xf numFmtId="4" fontId="5" fillId="5" borderId="1" xfId="0" applyNumberFormat="1" applyFont="1" applyFill="1" applyBorder="1" applyAlignment="1">
      <alignment horizontal="right"/>
    </xf>
    <xf numFmtId="9" fontId="5" fillId="5" borderId="1" xfId="0" applyNumberFormat="1" applyFont="1" applyFill="1" applyBorder="1" applyAlignment="1">
      <alignment horizontal="right"/>
    </xf>
    <xf numFmtId="168" fontId="7" fillId="0" borderId="1" xfId="0" applyNumberFormat="1" applyFont="1" applyBorder="1" applyAlignment="1">
      <alignment horizontal="right"/>
    </xf>
    <xf numFmtId="0" fontId="5" fillId="5" borderId="1" xfId="0" applyFont="1" applyFill="1" applyBorder="1" applyAlignment="1">
      <alignment horizontal="center"/>
    </xf>
    <xf numFmtId="10" fontId="5" fillId="5" borderId="1" xfId="0" applyNumberFormat="1" applyFont="1" applyFill="1" applyBorder="1" applyAlignment="1">
      <alignment horizontal="right"/>
    </xf>
    <xf numFmtId="0" fontId="5" fillId="5" borderId="1" xfId="0" applyFont="1" applyFill="1" applyBorder="1" applyAlignment="1">
      <alignment horizontal="right"/>
    </xf>
    <xf numFmtId="168" fontId="5" fillId="5" borderId="1" xfId="0" applyNumberFormat="1" applyFont="1" applyFill="1" applyBorder="1" applyAlignment="1">
      <alignment horizontal="right"/>
    </xf>
    <xf numFmtId="0" fontId="4" fillId="0" borderId="2" xfId="0" applyFont="1" applyBorder="1"/>
    <xf numFmtId="0" fontId="3" fillId="0" borderId="3" xfId="0" applyFont="1" applyBorder="1"/>
    <xf numFmtId="0" fontId="2" fillId="0" borderId="2" xfId="0" applyFont="1" applyBorder="1" applyAlignment="1">
      <alignment horizontal="center"/>
    </xf>
    <xf numFmtId="0" fontId="3" fillId="0" borderId="12" xfId="0" applyFont="1" applyBorder="1"/>
    <xf numFmtId="0" fontId="6" fillId="3" borderId="4" xfId="0" applyFont="1" applyFill="1" applyBorder="1" applyAlignment="1">
      <alignment horizontal="center"/>
    </xf>
    <xf numFmtId="0" fontId="3" fillId="0" borderId="5" xfId="0" applyFont="1" applyBorder="1"/>
    <xf numFmtId="0" fontId="3" fillId="0" borderId="6" xfId="0" applyFont="1" applyBorder="1"/>
    <xf numFmtId="0" fontId="3" fillId="0" borderId="9" xfId="0" applyFont="1" applyBorder="1"/>
    <xf numFmtId="0" fontId="3" fillId="0" borderId="10" xfId="0" applyFont="1" applyBorder="1"/>
    <xf numFmtId="0" fontId="3" fillId="0" borderId="11" xfId="0" applyFont="1" applyBorder="1"/>
    <xf numFmtId="0" fontId="4" fillId="0" borderId="2" xfId="0" applyFont="1" applyBorder="1" applyAlignment="1">
      <alignment wrapText="1"/>
    </xf>
    <xf numFmtId="4" fontId="5" fillId="5" borderId="2" xfId="0" applyNumberFormat="1" applyFont="1" applyFill="1" applyBorder="1"/>
    <xf numFmtId="0" fontId="6" fillId="3" borderId="2" xfId="0" applyFont="1" applyFill="1" applyBorder="1" applyAlignment="1">
      <alignment horizontal="center"/>
    </xf>
    <xf numFmtId="0" fontId="2" fillId="0" borderId="2" xfId="0" applyFont="1" applyBorder="1"/>
    <xf numFmtId="3" fontId="2" fillId="5" borderId="2" xfId="0" applyNumberFormat="1" applyFont="1" applyFill="1" applyBorder="1"/>
    <xf numFmtId="0" fontId="2" fillId="0" borderId="4" xfId="0" applyFont="1" applyBorder="1" applyAlignment="1">
      <alignment horizontal="center"/>
    </xf>
    <xf numFmtId="0" fontId="3" fillId="0" borderId="7" xfId="0" applyFont="1" applyBorder="1"/>
    <xf numFmtId="0" fontId="0" fillId="0" borderId="0" xfId="0"/>
    <xf numFmtId="0" fontId="3" fillId="0" borderId="8" xfId="0" applyFont="1" applyBorder="1"/>
    <xf numFmtId="0" fontId="0" fillId="12" borderId="0" xfId="0" applyFill="1"/>
    <xf numFmtId="0" fontId="15" fillId="12" borderId="0" xfId="0" applyFont="1" applyFill="1" applyAlignment="1">
      <alignment horizontal="center" vertical="center" wrapText="1"/>
    </xf>
    <xf numFmtId="0" fontId="0" fillId="12" borderId="0" xfId="0" applyFill="1" applyAlignment="1">
      <alignment wrapText="1"/>
    </xf>
    <xf numFmtId="0" fontId="12" fillId="12" borderId="0" xfId="0" applyFont="1" applyFill="1" applyAlignment="1">
      <alignment horizontal="left"/>
    </xf>
    <xf numFmtId="0" fontId="16" fillId="13" borderId="34" xfId="1" applyFont="1" applyFill="1" applyBorder="1" applyAlignment="1">
      <alignment horizontal="center" vertical="center" wrapText="1"/>
    </xf>
    <xf numFmtId="0" fontId="16" fillId="13" borderId="35" xfId="1" applyFont="1" applyFill="1" applyBorder="1" applyAlignment="1">
      <alignment horizontal="center" vertical="center" wrapText="1"/>
    </xf>
    <xf numFmtId="0" fontId="17" fillId="13" borderId="35" xfId="0" applyFont="1" applyFill="1" applyBorder="1" applyAlignment="1">
      <alignment horizontal="center" vertical="center" wrapText="1"/>
    </xf>
    <xf numFmtId="0" fontId="17" fillId="14" borderId="35" xfId="0" applyFont="1" applyFill="1" applyBorder="1" applyAlignment="1">
      <alignment horizontal="center" vertical="center" wrapText="1"/>
    </xf>
    <xf numFmtId="0" fontId="17" fillId="15" borderId="35" xfId="0" applyFont="1" applyFill="1" applyBorder="1" applyAlignment="1">
      <alignment horizontal="center" vertical="center" wrapText="1"/>
    </xf>
    <xf numFmtId="0" fontId="17" fillId="14" borderId="36" xfId="0" applyFont="1" applyFill="1" applyBorder="1" applyAlignment="1">
      <alignment horizontal="center" vertical="center" wrapText="1"/>
    </xf>
    <xf numFmtId="0" fontId="0" fillId="12" borderId="37" xfId="0" applyFill="1" applyBorder="1"/>
    <xf numFmtId="0" fontId="18" fillId="12" borderId="38" xfId="0" applyFont="1" applyFill="1" applyBorder="1" applyAlignment="1">
      <alignment horizontal="center"/>
    </xf>
    <xf numFmtId="0" fontId="0" fillId="12" borderId="38" xfId="0" applyFill="1" applyBorder="1"/>
    <xf numFmtId="0" fontId="0" fillId="12" borderId="39" xfId="0" applyFill="1" applyBorder="1"/>
    <xf numFmtId="0" fontId="0" fillId="12" borderId="0" xfId="0" applyFill="1" applyAlignment="1">
      <alignment horizontal="center"/>
    </xf>
    <xf numFmtId="0" fontId="12" fillId="16" borderId="40" xfId="0" applyFont="1" applyFill="1" applyBorder="1"/>
    <xf numFmtId="0" fontId="19" fillId="12" borderId="0" xfId="0" applyFont="1" applyFill="1"/>
    <xf numFmtId="0" fontId="20" fillId="0" borderId="40" xfId="0" applyFont="1" applyBorder="1" applyAlignment="1">
      <alignment horizontal="left" vertical="center"/>
    </xf>
    <xf numFmtId="0" fontId="14" fillId="0" borderId="40" xfId="0" applyFont="1" applyBorder="1" applyAlignment="1">
      <alignment horizontal="left" vertical="center"/>
    </xf>
    <xf numFmtId="0" fontId="14" fillId="17" borderId="40" xfId="0" applyFont="1" applyFill="1" applyBorder="1" applyAlignment="1">
      <alignment horizontal="left" vertical="center"/>
    </xf>
    <xf numFmtId="9" fontId="21" fillId="18" borderId="40" xfId="0" applyNumberFormat="1" applyFont="1" applyFill="1" applyBorder="1" applyAlignment="1">
      <alignment horizontal="center" vertical="center"/>
    </xf>
    <xf numFmtId="0" fontId="22" fillId="18" borderId="40" xfId="0" applyFont="1" applyFill="1" applyBorder="1" applyAlignment="1">
      <alignment horizontal="center" vertical="center"/>
    </xf>
    <xf numFmtId="5" fontId="22" fillId="18" borderId="41" xfId="4" applyNumberFormat="1" applyFont="1" applyFill="1" applyBorder="1" applyAlignment="1">
      <alignment horizontal="center" vertical="center"/>
    </xf>
    <xf numFmtId="9" fontId="21" fillId="18" borderId="41" xfId="0" applyNumberFormat="1" applyFont="1" applyFill="1" applyBorder="1" applyAlignment="1">
      <alignment horizontal="center" vertical="center"/>
    </xf>
    <xf numFmtId="0" fontId="21" fillId="18" borderId="40" xfId="0" applyFont="1" applyFill="1" applyBorder="1" applyAlignment="1">
      <alignment horizontal="center" vertical="center"/>
    </xf>
    <xf numFmtId="0" fontId="0" fillId="12" borderId="42" xfId="0" applyFill="1" applyBorder="1"/>
    <xf numFmtId="0" fontId="23" fillId="12" borderId="0" xfId="0" applyFont="1" applyFill="1" applyAlignment="1">
      <alignment horizontal="center"/>
    </xf>
    <xf numFmtId="0" fontId="23" fillId="12" borderId="43" xfId="0" applyFont="1" applyFill="1" applyBorder="1" applyAlignment="1">
      <alignment horizontal="center"/>
    </xf>
    <xf numFmtId="0" fontId="12" fillId="12" borderId="0" xfId="0" applyFont="1" applyFill="1" applyAlignment="1">
      <alignment horizontal="center"/>
    </xf>
    <xf numFmtId="0" fontId="12" fillId="12" borderId="42" xfId="0" applyFont="1" applyFill="1" applyBorder="1"/>
    <xf numFmtId="0" fontId="23" fillId="12" borderId="43" xfId="0" applyFont="1" applyFill="1" applyBorder="1" applyAlignment="1">
      <alignment horizontal="center"/>
    </xf>
    <xf numFmtId="0" fontId="0" fillId="0" borderId="40" xfId="0" applyBorder="1"/>
    <xf numFmtId="0" fontId="18" fillId="12" borderId="0" xfId="0" applyFont="1" applyFill="1" applyAlignment="1">
      <alignment horizontal="center"/>
    </xf>
    <xf numFmtId="0" fontId="0" fillId="12" borderId="43" xfId="0" applyFill="1" applyBorder="1"/>
    <xf numFmtId="0" fontId="0" fillId="12" borderId="43" xfId="0" applyFill="1" applyBorder="1" applyAlignment="1">
      <alignment horizontal="center"/>
    </xf>
    <xf numFmtId="9" fontId="22" fillId="18" borderId="40" xfId="0" applyNumberFormat="1" applyFont="1" applyFill="1" applyBorder="1" applyAlignment="1">
      <alignment horizontal="center" vertical="center"/>
    </xf>
    <xf numFmtId="0" fontId="21" fillId="18" borderId="41" xfId="0" applyFont="1" applyFill="1" applyBorder="1" applyAlignment="1">
      <alignment horizontal="center" vertical="center"/>
    </xf>
    <xf numFmtId="9" fontId="24" fillId="18" borderId="40" xfId="0" applyNumberFormat="1" applyFont="1" applyFill="1" applyBorder="1" applyAlignment="1">
      <alignment horizontal="center" vertical="center"/>
    </xf>
    <xf numFmtId="0" fontId="25" fillId="12" borderId="0" xfId="0" applyFont="1" applyFill="1" applyAlignment="1">
      <alignment vertical="center"/>
    </xf>
    <xf numFmtId="5" fontId="22" fillId="18" borderId="40" xfId="4" applyNumberFormat="1" applyFont="1" applyFill="1" applyBorder="1" applyAlignment="1">
      <alignment horizontal="center" vertical="center"/>
    </xf>
    <xf numFmtId="0" fontId="20" fillId="0" borderId="44" xfId="0" applyFont="1" applyBorder="1" applyAlignment="1">
      <alignment horizontal="left" vertical="center"/>
    </xf>
    <xf numFmtId="0" fontId="14" fillId="0" borderId="44" xfId="0" applyFont="1" applyBorder="1" applyAlignment="1">
      <alignment horizontal="left" vertical="center"/>
    </xf>
    <xf numFmtId="0" fontId="14" fillId="17" borderId="44" xfId="0" applyFont="1" applyFill="1" applyBorder="1" applyAlignment="1">
      <alignment horizontal="left" vertical="center"/>
    </xf>
    <xf numFmtId="9" fontId="24" fillId="18" borderId="44" xfId="0" applyNumberFormat="1" applyFont="1" applyFill="1" applyBorder="1" applyAlignment="1">
      <alignment horizontal="center" vertical="center"/>
    </xf>
    <xf numFmtId="0" fontId="22" fillId="18" borderId="44" xfId="0" applyFont="1" applyFill="1" applyBorder="1" applyAlignment="1">
      <alignment horizontal="center" vertical="center"/>
    </xf>
    <xf numFmtId="5" fontId="22" fillId="18" borderId="44" xfId="4" applyNumberFormat="1" applyFont="1" applyFill="1" applyBorder="1" applyAlignment="1">
      <alignment horizontal="center" vertical="center"/>
    </xf>
    <xf numFmtId="9" fontId="21" fillId="18" borderId="44" xfId="0" applyNumberFormat="1" applyFont="1" applyFill="1" applyBorder="1" applyAlignment="1">
      <alignment horizontal="center" vertical="center"/>
    </xf>
    <xf numFmtId="0" fontId="21" fillId="18" borderId="44" xfId="0" applyFont="1" applyFill="1" applyBorder="1" applyAlignment="1">
      <alignment horizontal="center" vertical="center"/>
    </xf>
    <xf numFmtId="0" fontId="20" fillId="0" borderId="45" xfId="0" applyFont="1" applyBorder="1" applyAlignment="1">
      <alignment horizontal="left" vertical="center"/>
    </xf>
    <xf numFmtId="0" fontId="14" fillId="0" borderId="45" xfId="0" applyFont="1" applyBorder="1" applyAlignment="1">
      <alignment horizontal="left" vertical="center"/>
    </xf>
    <xf numFmtId="9" fontId="24" fillId="18" borderId="45" xfId="0" applyNumberFormat="1" applyFont="1" applyFill="1" applyBorder="1" applyAlignment="1">
      <alignment horizontal="center" vertical="center"/>
    </xf>
    <xf numFmtId="9" fontId="22" fillId="18" borderId="45" xfId="0" applyNumberFormat="1" applyFont="1" applyFill="1" applyBorder="1" applyAlignment="1">
      <alignment horizontal="center" vertical="center"/>
    </xf>
    <xf numFmtId="9" fontId="21" fillId="18" borderId="45" xfId="0" applyNumberFormat="1" applyFont="1" applyFill="1" applyBorder="1" applyAlignment="1">
      <alignment horizontal="center" vertical="center"/>
    </xf>
    <xf numFmtId="0" fontId="21" fillId="18" borderId="45" xfId="0" applyFont="1" applyFill="1" applyBorder="1" applyAlignment="1">
      <alignment horizontal="center" vertical="center"/>
    </xf>
    <xf numFmtId="9" fontId="22" fillId="19" borderId="45" xfId="0" applyNumberFormat="1" applyFont="1" applyFill="1" applyBorder="1" applyAlignment="1">
      <alignment horizontal="center" vertical="center"/>
    </xf>
    <xf numFmtId="0" fontId="22" fillId="18" borderId="45" xfId="0" applyFont="1" applyFill="1" applyBorder="1" applyAlignment="1">
      <alignment horizontal="center" vertical="center"/>
    </xf>
    <xf numFmtId="0" fontId="26" fillId="12" borderId="43" xfId="0" applyFont="1" applyFill="1" applyBorder="1"/>
    <xf numFmtId="0" fontId="11" fillId="12" borderId="0" xfId="0" applyFont="1" applyFill="1"/>
    <xf numFmtId="0" fontId="20" fillId="0" borderId="46" xfId="0" applyFont="1" applyBorder="1" applyAlignment="1">
      <alignment horizontal="left" vertical="center"/>
    </xf>
    <xf numFmtId="0" fontId="14" fillId="0" borderId="46" xfId="0" applyFont="1" applyBorder="1" applyAlignment="1">
      <alignment horizontal="left" vertical="center"/>
    </xf>
    <xf numFmtId="9" fontId="21" fillId="18" borderId="46" xfId="0" applyNumberFormat="1" applyFont="1" applyFill="1" applyBorder="1" applyAlignment="1">
      <alignment horizontal="center" vertical="center"/>
    </xf>
    <xf numFmtId="0" fontId="22" fillId="18" borderId="46" xfId="0" applyFont="1" applyFill="1" applyBorder="1" applyAlignment="1">
      <alignment horizontal="center" vertical="center"/>
    </xf>
    <xf numFmtId="42" fontId="22" fillId="18" borderId="46" xfId="4" applyFont="1" applyFill="1" applyBorder="1" applyAlignment="1">
      <alignment horizontal="center" vertical="center"/>
    </xf>
    <xf numFmtId="0" fontId="21" fillId="18" borderId="46" xfId="0" applyFont="1" applyFill="1" applyBorder="1" applyAlignment="1">
      <alignment horizontal="center" vertical="center"/>
    </xf>
    <xf numFmtId="9" fontId="21" fillId="20" borderId="40" xfId="0" applyNumberFormat="1" applyFont="1" applyFill="1" applyBorder="1" applyAlignment="1">
      <alignment horizontal="center" vertical="center"/>
    </xf>
    <xf numFmtId="0" fontId="22" fillId="20" borderId="40" xfId="0" applyFont="1" applyFill="1" applyBorder="1" applyAlignment="1">
      <alignment horizontal="center" vertical="center"/>
    </xf>
    <xf numFmtId="9" fontId="22" fillId="20" borderId="40" xfId="0" applyNumberFormat="1" applyFont="1" applyFill="1" applyBorder="1" applyAlignment="1">
      <alignment horizontal="center" vertical="center"/>
    </xf>
    <xf numFmtId="0" fontId="21" fillId="20" borderId="40" xfId="0" applyFont="1" applyFill="1" applyBorder="1" applyAlignment="1">
      <alignment horizontal="center" vertical="center"/>
    </xf>
    <xf numFmtId="9" fontId="21" fillId="20" borderId="41" xfId="0" applyNumberFormat="1" applyFont="1" applyFill="1" applyBorder="1" applyAlignment="1">
      <alignment horizontal="center" vertical="center"/>
    </xf>
    <xf numFmtId="9" fontId="24" fillId="20" borderId="40" xfId="0" applyNumberFormat="1" applyFont="1" applyFill="1" applyBorder="1" applyAlignment="1">
      <alignment horizontal="center" vertical="center"/>
    </xf>
    <xf numFmtId="0" fontId="20" fillId="0" borderId="41" xfId="0" applyFont="1" applyBorder="1" applyAlignment="1">
      <alignment horizontal="left" vertical="center"/>
    </xf>
    <xf numFmtId="0" fontId="14" fillId="0" borderId="41" xfId="0" applyFont="1" applyBorder="1" applyAlignment="1">
      <alignment horizontal="left" vertical="center"/>
    </xf>
    <xf numFmtId="0" fontId="22" fillId="20" borderId="41" xfId="0" applyFont="1" applyFill="1" applyBorder="1" applyAlignment="1">
      <alignment horizontal="center" vertical="center"/>
    </xf>
    <xf numFmtId="0" fontId="21" fillId="20" borderId="41" xfId="0" applyFont="1" applyFill="1" applyBorder="1" applyAlignment="1">
      <alignment horizontal="center" vertical="center"/>
    </xf>
    <xf numFmtId="0" fontId="0" fillId="12" borderId="47" xfId="0" applyFill="1" applyBorder="1"/>
    <xf numFmtId="0" fontId="0" fillId="12" borderId="48" xfId="0" applyFill="1" applyBorder="1"/>
    <xf numFmtId="0" fontId="0" fillId="12" borderId="49" xfId="0" applyFill="1" applyBorder="1"/>
    <xf numFmtId="0" fontId="0" fillId="12" borderId="49" xfId="0" applyFill="1" applyBorder="1" applyAlignment="1">
      <alignment horizontal="center"/>
    </xf>
    <xf numFmtId="9" fontId="22" fillId="20" borderId="41" xfId="0" applyNumberFormat="1" applyFont="1" applyFill="1" applyBorder="1" applyAlignment="1">
      <alignment horizontal="center" vertical="center"/>
    </xf>
    <xf numFmtId="0" fontId="12" fillId="12" borderId="0" xfId="0" applyFont="1" applyFill="1"/>
    <xf numFmtId="0" fontId="8" fillId="12" borderId="0" xfId="1" applyFill="1"/>
    <xf numFmtId="0" fontId="0" fillId="12" borderId="0" xfId="0" applyFill="1" applyAlignment="1">
      <alignment vertical="top" wrapText="1"/>
    </xf>
    <xf numFmtId="0" fontId="12" fillId="12" borderId="0" xfId="0" applyFont="1" applyFill="1" applyAlignment="1">
      <alignment vertical="top" wrapText="1"/>
    </xf>
    <xf numFmtId="0" fontId="27" fillId="12" borderId="0" xfId="0" applyFont="1" applyFill="1"/>
    <xf numFmtId="0" fontId="0" fillId="12" borderId="0" xfId="0" applyFill="1" applyAlignment="1">
      <alignment vertical="top" wrapText="1"/>
    </xf>
    <xf numFmtId="0" fontId="0" fillId="12" borderId="0" xfId="0" applyFill="1" applyAlignment="1">
      <alignment horizontal="center"/>
    </xf>
    <xf numFmtId="0" fontId="0" fillId="12" borderId="0" xfId="0" applyFill="1" applyAlignment="1">
      <alignment vertical="top"/>
    </xf>
    <xf numFmtId="0" fontId="0" fillId="12" borderId="0" xfId="0" applyFill="1" applyAlignment="1">
      <alignment horizontal="left" vertical="top" wrapText="1" indent="2"/>
    </xf>
    <xf numFmtId="0" fontId="0" fillId="12" borderId="0" xfId="0" applyFill="1" applyAlignment="1">
      <alignment horizontal="left" vertical="top" wrapText="1" indent="2"/>
    </xf>
    <xf numFmtId="0" fontId="19" fillId="12" borderId="0" xfId="0" applyFont="1" applyFill="1" applyAlignment="1">
      <alignment vertical="top" wrapText="1"/>
    </xf>
    <xf numFmtId="0" fontId="29" fillId="12" borderId="0" xfId="1" applyFont="1" applyFill="1" applyAlignment="1">
      <alignment vertical="top" wrapText="1"/>
    </xf>
    <xf numFmtId="0" fontId="20" fillId="0" borderId="0" xfId="0" applyFont="1" applyAlignment="1">
      <alignment horizontal="left"/>
    </xf>
    <xf numFmtId="0" fontId="20" fillId="12" borderId="0" xfId="0" applyFont="1" applyFill="1" applyAlignment="1">
      <alignment horizontal="left"/>
    </xf>
    <xf numFmtId="0" fontId="30" fillId="12" borderId="0" xfId="0" applyFont="1" applyFill="1" applyAlignment="1">
      <alignment horizontal="center"/>
    </xf>
    <xf numFmtId="0" fontId="0" fillId="12" borderId="40" xfId="0" applyFill="1" applyBorder="1"/>
    <xf numFmtId="14" fontId="0" fillId="12" borderId="40" xfId="0" applyNumberFormat="1" applyFill="1" applyBorder="1" applyAlignment="1">
      <alignment horizontal="center"/>
    </xf>
    <xf numFmtId="1" fontId="13" fillId="12" borderId="0" xfId="0" applyNumberFormat="1" applyFont="1" applyFill="1" applyAlignment="1">
      <alignment horizontal="center"/>
    </xf>
    <xf numFmtId="9" fontId="31" fillId="12" borderId="0" xfId="5" applyFont="1" applyFill="1" applyAlignment="1">
      <alignment horizontal="center"/>
    </xf>
    <xf numFmtId="1" fontId="32" fillId="12" borderId="0" xfId="0" applyNumberFormat="1" applyFont="1" applyFill="1" applyAlignment="1">
      <alignment horizontal="center"/>
    </xf>
    <xf numFmtId="0" fontId="1" fillId="0" borderId="0" xfId="0" applyFont="1" applyAlignment="1">
      <alignment vertical="center"/>
    </xf>
    <xf numFmtId="0" fontId="33" fillId="0" borderId="50" xfId="0" applyFont="1" applyBorder="1" applyAlignment="1">
      <alignment horizontal="center" vertical="center"/>
    </xf>
    <xf numFmtId="0" fontId="33" fillId="0" borderId="51" xfId="0" applyFont="1" applyBorder="1" applyAlignment="1">
      <alignment horizontal="center" vertical="center"/>
    </xf>
    <xf numFmtId="0" fontId="33" fillId="0" borderId="52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15" fontId="12" fillId="0" borderId="0" xfId="0" applyNumberFormat="1" applyFont="1" applyAlignment="1">
      <alignment vertical="center"/>
    </xf>
    <xf numFmtId="0" fontId="23" fillId="0" borderId="0" xfId="0" applyFont="1" applyAlignment="1">
      <alignment horizontal="center" vertical="center"/>
    </xf>
    <xf numFmtId="0" fontId="23" fillId="0" borderId="0" xfId="0" applyFont="1" applyAlignment="1">
      <alignment horizontal="left" vertical="center"/>
    </xf>
    <xf numFmtId="0" fontId="1" fillId="0" borderId="0" xfId="0" applyFont="1"/>
    <xf numFmtId="0" fontId="12" fillId="21" borderId="50" xfId="0" applyFont="1" applyFill="1" applyBorder="1" applyAlignment="1">
      <alignment horizontal="left"/>
    </xf>
    <xf numFmtId="0" fontId="12" fillId="21" borderId="51" xfId="0" applyFont="1" applyFill="1" applyBorder="1"/>
    <xf numFmtId="15" fontId="12" fillId="21" borderId="51" xfId="0" applyNumberFormat="1" applyFont="1" applyFill="1" applyBorder="1"/>
    <xf numFmtId="0" fontId="23" fillId="21" borderId="51" xfId="0" applyFont="1" applyFill="1" applyBorder="1" applyAlignment="1">
      <alignment horizontal="center"/>
    </xf>
    <xf numFmtId="0" fontId="23" fillId="21" borderId="51" xfId="0" applyFont="1" applyFill="1" applyBorder="1" applyAlignment="1">
      <alignment horizontal="left"/>
    </xf>
    <xf numFmtId="0" fontId="23" fillId="21" borderId="51" xfId="0" applyFont="1" applyFill="1" applyBorder="1" applyAlignment="1">
      <alignment horizontal="center" vertical="center"/>
    </xf>
    <xf numFmtId="0" fontId="23" fillId="21" borderId="53" xfId="0" applyFont="1" applyFill="1" applyBorder="1" applyAlignment="1">
      <alignment horizontal="left"/>
    </xf>
    <xf numFmtId="0" fontId="1" fillId="0" borderId="0" xfId="0" applyFont="1" applyAlignment="1">
      <alignment vertical="center" wrapText="1"/>
    </xf>
    <xf numFmtId="0" fontId="12" fillId="0" borderId="54" xfId="0" applyFont="1" applyBorder="1" applyAlignment="1">
      <alignment horizontal="center" vertical="center" wrapText="1"/>
    </xf>
    <xf numFmtId="0" fontId="12" fillId="0" borderId="55" xfId="0" applyFont="1" applyBorder="1" applyAlignment="1">
      <alignment horizontal="center" vertical="center" wrapText="1"/>
    </xf>
    <xf numFmtId="0" fontId="12" fillId="0" borderId="52" xfId="0" applyFont="1" applyBorder="1" applyAlignment="1">
      <alignment horizontal="center" vertical="center" wrapText="1"/>
    </xf>
    <xf numFmtId="0" fontId="12" fillId="0" borderId="51" xfId="0" applyFont="1" applyBorder="1" applyAlignment="1">
      <alignment horizontal="center" vertical="center" wrapText="1"/>
    </xf>
    <xf numFmtId="0" fontId="12" fillId="0" borderId="56" xfId="0" applyFont="1" applyBorder="1" applyAlignment="1">
      <alignment horizontal="center" vertical="center" wrapText="1"/>
    </xf>
    <xf numFmtId="0" fontId="12" fillId="0" borderId="57" xfId="0" applyFont="1" applyBorder="1" applyAlignment="1">
      <alignment horizontal="center" vertical="center" wrapText="1"/>
    </xf>
    <xf numFmtId="0" fontId="12" fillId="0" borderId="58" xfId="0" applyFont="1" applyBorder="1" applyAlignment="1">
      <alignment horizontal="center" vertical="center" wrapText="1"/>
    </xf>
    <xf numFmtId="0" fontId="12" fillId="0" borderId="59" xfId="0" applyFont="1" applyBorder="1" applyAlignment="1">
      <alignment horizontal="center" vertical="center" wrapText="1"/>
    </xf>
    <xf numFmtId="0" fontId="12" fillId="0" borderId="60" xfId="0" applyFont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/>
    </xf>
    <xf numFmtId="0" fontId="0" fillId="0" borderId="59" xfId="0" applyBorder="1" applyAlignment="1">
      <alignment horizontal="center" vertical="center" wrapText="1"/>
    </xf>
    <xf numFmtId="6" fontId="9" fillId="0" borderId="59" xfId="4" applyNumberFormat="1" applyBorder="1" applyAlignment="1">
      <alignment horizontal="center" vertical="center"/>
    </xf>
    <xf numFmtId="9" fontId="12" fillId="0" borderId="59" xfId="0" applyNumberFormat="1" applyFont="1" applyBorder="1" applyAlignment="1">
      <alignment horizontal="center" vertical="center"/>
    </xf>
    <xf numFmtId="6" fontId="34" fillId="0" borderId="62" xfId="0" applyNumberFormat="1" applyFont="1" applyBorder="1" applyAlignment="1">
      <alignment horizontal="center" vertical="center"/>
    </xf>
    <xf numFmtId="0" fontId="1" fillId="0" borderId="63" xfId="0" applyFont="1" applyBorder="1"/>
    <xf numFmtId="0" fontId="1" fillId="0" borderId="64" xfId="0" applyFont="1" applyBorder="1" applyAlignment="1">
      <alignment horizontal="center" vertical="center"/>
    </xf>
    <xf numFmtId="0" fontId="1" fillId="0" borderId="65" xfId="0" applyFont="1" applyBorder="1" applyAlignment="1">
      <alignment horizontal="center" vertical="center"/>
    </xf>
    <xf numFmtId="49" fontId="0" fillId="0" borderId="61" xfId="0" applyNumberFormat="1" applyBorder="1" applyAlignment="1">
      <alignment horizontal="center" vertical="center" wrapText="1"/>
    </xf>
    <xf numFmtId="0" fontId="0" fillId="0" borderId="66" xfId="0" applyBorder="1" applyAlignment="1">
      <alignment horizontal="center" vertical="center" wrapText="1"/>
    </xf>
    <xf numFmtId="0" fontId="1" fillId="0" borderId="62" xfId="0" applyFont="1" applyBorder="1" applyAlignment="1">
      <alignment horizontal="center" vertical="center"/>
    </xf>
    <xf numFmtId="167" fontId="12" fillId="0" borderId="67" xfId="0" applyNumberFormat="1" applyFont="1" applyBorder="1" applyAlignment="1">
      <alignment horizontal="center"/>
    </xf>
    <xf numFmtId="167" fontId="12" fillId="0" borderId="53" xfId="0" applyNumberFormat="1" applyFont="1" applyBorder="1" applyAlignment="1">
      <alignment horizontal="center"/>
    </xf>
    <xf numFmtId="0" fontId="12" fillId="0" borderId="67" xfId="0" applyFont="1" applyBorder="1" applyAlignment="1">
      <alignment vertical="center" wrapText="1"/>
    </xf>
    <xf numFmtId="0" fontId="0" fillId="0" borderId="68" xfId="0" applyBorder="1" applyAlignment="1">
      <alignment horizontal="center" vertical="center" wrapText="1"/>
    </xf>
    <xf numFmtId="0" fontId="0" fillId="0" borderId="69" xfId="0" applyBorder="1" applyAlignment="1">
      <alignment horizontal="center" vertical="center"/>
    </xf>
    <xf numFmtId="0" fontId="0" fillId="0" borderId="69" xfId="0" applyBorder="1" applyAlignment="1">
      <alignment horizontal="center" vertical="center" wrapText="1"/>
    </xf>
    <xf numFmtId="6" fontId="9" fillId="0" borderId="69" xfId="4" applyNumberFormat="1" applyBorder="1" applyAlignment="1">
      <alignment horizontal="center" vertical="center"/>
    </xf>
    <xf numFmtId="9" fontId="12" fillId="0" borderId="69" xfId="0" applyNumberFormat="1" applyFont="1" applyBorder="1" applyAlignment="1">
      <alignment horizontal="center" vertical="center"/>
    </xf>
    <xf numFmtId="9" fontId="34" fillId="0" borderId="42" xfId="0" applyNumberFormat="1" applyFont="1" applyBorder="1" applyAlignment="1">
      <alignment horizontal="center" vertical="center"/>
    </xf>
    <xf numFmtId="0" fontId="1" fillId="0" borderId="70" xfId="0" applyFont="1" applyBorder="1"/>
    <xf numFmtId="0" fontId="1" fillId="0" borderId="71" xfId="0" applyFont="1" applyBorder="1" applyAlignment="1">
      <alignment horizontal="center" vertical="center"/>
    </xf>
    <xf numFmtId="0" fontId="1" fillId="0" borderId="72" xfId="0" applyFont="1" applyBorder="1" applyAlignment="1">
      <alignment horizontal="center" vertical="center"/>
    </xf>
    <xf numFmtId="49" fontId="0" fillId="0" borderId="68" xfId="0" applyNumberFormat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1" fillId="0" borderId="42" xfId="0" applyFont="1" applyBorder="1" applyAlignment="1">
      <alignment horizontal="center" vertical="center"/>
    </xf>
    <xf numFmtId="167" fontId="12" fillId="0" borderId="73" xfId="0" applyNumberFormat="1" applyFont="1" applyBorder="1" applyAlignment="1">
      <alignment horizontal="center"/>
    </xf>
    <xf numFmtId="167" fontId="12" fillId="0" borderId="74" xfId="0" applyNumberFormat="1" applyFont="1" applyBorder="1" applyAlignment="1">
      <alignment horizontal="center"/>
    </xf>
    <xf numFmtId="0" fontId="19" fillId="0" borderId="73" xfId="0" applyFont="1" applyBorder="1" applyAlignment="1">
      <alignment vertical="top" wrapText="1"/>
    </xf>
    <xf numFmtId="0" fontId="1" fillId="0" borderId="69" xfId="0" applyFont="1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12" fillId="0" borderId="73" xfId="0" applyFont="1" applyBorder="1" applyAlignment="1">
      <alignment horizontal="left" vertical="center" wrapText="1"/>
    </xf>
    <xf numFmtId="0" fontId="0" fillId="0" borderId="70" xfId="0" applyBorder="1"/>
    <xf numFmtId="0" fontId="1" fillId="0" borderId="40" xfId="0" applyFont="1" applyBorder="1" applyAlignment="1">
      <alignment horizontal="center" vertical="center" wrapText="1"/>
    </xf>
    <xf numFmtId="17" fontId="0" fillId="0" borderId="42" xfId="0" applyNumberFormat="1" applyBorder="1" applyAlignment="1">
      <alignment horizontal="center" vertical="center"/>
    </xf>
    <xf numFmtId="167" fontId="12" fillId="0" borderId="75" xfId="0" applyNumberFormat="1" applyFont="1" applyBorder="1" applyAlignment="1">
      <alignment horizontal="center"/>
    </xf>
    <xf numFmtId="167" fontId="12" fillId="0" borderId="76" xfId="0" applyNumberFormat="1" applyFont="1" applyBorder="1" applyAlignment="1">
      <alignment horizontal="center"/>
    </xf>
    <xf numFmtId="0" fontId="35" fillId="0" borderId="75" xfId="0" applyFont="1" applyBorder="1" applyAlignment="1">
      <alignment vertical="center" wrapText="1"/>
    </xf>
    <xf numFmtId="17" fontId="1" fillId="0" borderId="42" xfId="0" applyNumberFormat="1" applyFont="1" applyBorder="1" applyAlignment="1">
      <alignment horizontal="center" vertical="center"/>
    </xf>
    <xf numFmtId="167" fontId="12" fillId="0" borderId="75" xfId="0" applyNumberFormat="1" applyFont="1" applyBorder="1" applyAlignment="1">
      <alignment horizontal="left"/>
    </xf>
    <xf numFmtId="0" fontId="12" fillId="0" borderId="73" xfId="0" applyFont="1" applyBorder="1" applyAlignment="1">
      <alignment vertical="center" wrapText="1"/>
    </xf>
    <xf numFmtId="42" fontId="9" fillId="0" borderId="59" xfId="4" applyBorder="1" applyAlignment="1">
      <alignment horizontal="center" vertical="center"/>
    </xf>
    <xf numFmtId="17" fontId="1" fillId="0" borderId="62" xfId="0" applyNumberFormat="1" applyFont="1" applyBorder="1" applyAlignment="1">
      <alignment horizontal="center" vertical="center"/>
    </xf>
    <xf numFmtId="167" fontId="12" fillId="0" borderId="68" xfId="0" applyNumberFormat="1" applyFont="1" applyBorder="1" applyAlignment="1">
      <alignment horizontal="center"/>
    </xf>
    <xf numFmtId="167" fontId="12" fillId="0" borderId="77" xfId="0" applyNumberFormat="1" applyFont="1" applyBorder="1" applyAlignment="1">
      <alignment horizontal="center"/>
    </xf>
    <xf numFmtId="0" fontId="12" fillId="21" borderId="67" xfId="0" applyFont="1" applyFill="1" applyBorder="1" applyAlignment="1">
      <alignment vertical="center" wrapText="1"/>
    </xf>
    <xf numFmtId="0" fontId="36" fillId="0" borderId="53" xfId="0" applyFont="1" applyBorder="1" applyAlignment="1">
      <alignment horizontal="center" vertical="center" textRotation="255"/>
    </xf>
    <xf numFmtId="0" fontId="1" fillId="0" borderId="69" xfId="0" applyFont="1" applyBorder="1" applyAlignment="1">
      <alignment horizontal="center" vertical="center"/>
    </xf>
    <xf numFmtId="42" fontId="9" fillId="0" borderId="69" xfId="4" applyBorder="1" applyAlignment="1">
      <alignment horizontal="center" vertical="center"/>
    </xf>
    <xf numFmtId="49" fontId="1" fillId="0" borderId="68" xfId="0" applyNumberFormat="1" applyFont="1" applyBorder="1" applyAlignment="1">
      <alignment horizontal="center" vertical="center" wrapText="1"/>
    </xf>
    <xf numFmtId="17" fontId="1" fillId="0" borderId="42" xfId="0" applyNumberFormat="1" applyFont="1" applyBorder="1" applyAlignment="1">
      <alignment horizontal="center" vertical="center"/>
    </xf>
    <xf numFmtId="0" fontId="35" fillId="15" borderId="73" xfId="0" applyFont="1" applyFill="1" applyBorder="1" applyAlignment="1">
      <alignment vertical="center" wrapText="1"/>
    </xf>
    <xf numFmtId="0" fontId="36" fillId="0" borderId="74" xfId="0" applyFont="1" applyBorder="1" applyAlignment="1">
      <alignment horizontal="center" vertical="center" textRotation="255"/>
    </xf>
    <xf numFmtId="0" fontId="35" fillId="19" borderId="73" xfId="0" applyFont="1" applyFill="1" applyBorder="1" applyAlignment="1">
      <alignment vertical="center" wrapText="1"/>
    </xf>
    <xf numFmtId="167" fontId="19" fillId="0" borderId="68" xfId="0" applyNumberFormat="1" applyFont="1" applyBorder="1" applyAlignment="1">
      <alignment horizontal="center"/>
    </xf>
    <xf numFmtId="0" fontId="19" fillId="0" borderId="73" xfId="0" applyFont="1" applyBorder="1" applyAlignment="1">
      <alignment vertical="center" wrapText="1"/>
    </xf>
    <xf numFmtId="0" fontId="12" fillId="0" borderId="73" xfId="0" applyFont="1" applyBorder="1" applyAlignment="1">
      <alignment horizontal="left" vertical="center" wrapText="1"/>
    </xf>
    <xf numFmtId="0" fontId="0" fillId="0" borderId="78" xfId="0" applyBorder="1" applyAlignment="1">
      <alignment horizontal="center" vertical="center" wrapText="1"/>
    </xf>
    <xf numFmtId="0" fontId="1" fillId="0" borderId="79" xfId="0" applyFont="1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42" fontId="9" fillId="0" borderId="79" xfId="4" applyBorder="1" applyAlignment="1">
      <alignment horizontal="center" vertical="center"/>
    </xf>
    <xf numFmtId="9" fontId="12" fillId="0" borderId="79" xfId="0" applyNumberFormat="1" applyFont="1" applyBorder="1" applyAlignment="1">
      <alignment horizontal="center" vertical="center"/>
    </xf>
    <xf numFmtId="9" fontId="34" fillId="0" borderId="80" xfId="0" applyNumberFormat="1" applyFont="1" applyBorder="1" applyAlignment="1">
      <alignment horizontal="center" vertical="center"/>
    </xf>
    <xf numFmtId="0" fontId="0" fillId="0" borderId="75" xfId="0" applyBorder="1"/>
    <xf numFmtId="0" fontId="1" fillId="0" borderId="81" xfId="0" applyFont="1" applyBorder="1" applyAlignment="1">
      <alignment horizontal="center" vertical="center"/>
    </xf>
    <xf numFmtId="0" fontId="1" fillId="0" borderId="82" xfId="0" applyFont="1" applyBorder="1" applyAlignment="1">
      <alignment horizontal="center" vertical="center"/>
    </xf>
    <xf numFmtId="49" fontId="1" fillId="0" borderId="78" xfId="0" applyNumberFormat="1" applyFont="1" applyBorder="1" applyAlignment="1">
      <alignment horizontal="center" vertical="center" wrapText="1"/>
    </xf>
    <xf numFmtId="0" fontId="0" fillId="0" borderId="79" xfId="0" applyBorder="1" applyAlignment="1">
      <alignment horizontal="center" vertical="center" wrapText="1"/>
    </xf>
    <xf numFmtId="17" fontId="1" fillId="0" borderId="80" xfId="0" applyNumberFormat="1" applyFont="1" applyBorder="1" applyAlignment="1">
      <alignment horizontal="center" vertical="center"/>
    </xf>
    <xf numFmtId="167" fontId="37" fillId="0" borderId="68" xfId="0" applyNumberFormat="1" applyFont="1" applyBorder="1" applyAlignment="1">
      <alignment horizontal="center"/>
    </xf>
    <xf numFmtId="167" fontId="12" fillId="0" borderId="83" xfId="0" applyNumberFormat="1" applyFont="1" applyBorder="1" applyAlignment="1">
      <alignment horizontal="center"/>
    </xf>
    <xf numFmtId="0" fontId="12" fillId="0" borderId="75" xfId="0" applyFont="1" applyBorder="1" applyAlignment="1">
      <alignment horizontal="left" vertical="center" wrapText="1"/>
    </xf>
    <xf numFmtId="0" fontId="36" fillId="0" borderId="76" xfId="0" applyFont="1" applyBorder="1" applyAlignment="1">
      <alignment horizontal="center" vertical="center" textRotation="255"/>
    </xf>
    <xf numFmtId="0" fontId="0" fillId="0" borderId="64" xfId="0" applyBorder="1" applyAlignment="1">
      <alignment horizontal="center" vertical="center"/>
    </xf>
    <xf numFmtId="0" fontId="0" fillId="0" borderId="65" xfId="0" applyBorder="1" applyAlignment="1">
      <alignment horizontal="center" vertical="center"/>
    </xf>
    <xf numFmtId="49" fontId="0" fillId="0" borderId="84" xfId="0" applyNumberFormat="1" applyBorder="1" applyAlignment="1">
      <alignment horizontal="center" vertical="center" wrapText="1"/>
    </xf>
    <xf numFmtId="167" fontId="12" fillId="0" borderId="67" xfId="0" applyNumberFormat="1" applyFont="1" applyBorder="1" applyAlignment="1">
      <alignment horizontal="center" vertical="center"/>
    </xf>
    <xf numFmtId="0" fontId="37" fillId="0" borderId="67" xfId="0" applyFont="1" applyBorder="1" applyAlignment="1">
      <alignment horizontal="center" vertical="center" textRotation="255"/>
    </xf>
    <xf numFmtId="9" fontId="38" fillId="0" borderId="42" xfId="0" applyNumberFormat="1" applyFont="1" applyBorder="1" applyAlignment="1">
      <alignment horizontal="center" vertical="center"/>
    </xf>
    <xf numFmtId="0" fontId="0" fillId="0" borderId="71" xfId="0" applyBorder="1" applyAlignment="1">
      <alignment horizontal="center" vertical="center"/>
    </xf>
    <xf numFmtId="0" fontId="0" fillId="0" borderId="72" xfId="0" applyBorder="1" applyAlignment="1">
      <alignment horizontal="center" vertical="center"/>
    </xf>
    <xf numFmtId="49" fontId="0" fillId="0" borderId="85" xfId="0" applyNumberFormat="1" applyBorder="1" applyAlignment="1">
      <alignment horizontal="center" vertical="center" wrapText="1"/>
    </xf>
    <xf numFmtId="167" fontId="35" fillId="0" borderId="73" xfId="0" applyNumberFormat="1" applyFont="1" applyBorder="1" applyAlignment="1">
      <alignment horizontal="center" vertical="center"/>
    </xf>
    <xf numFmtId="0" fontId="37" fillId="0" borderId="73" xfId="0" applyFont="1" applyBorder="1" applyAlignment="1">
      <alignment horizontal="center" vertical="center" textRotation="255"/>
    </xf>
    <xf numFmtId="9" fontId="38" fillId="0" borderId="80" xfId="0" applyNumberFormat="1" applyFont="1" applyBorder="1" applyAlignment="1">
      <alignment horizontal="center" vertical="center"/>
    </xf>
    <xf numFmtId="49" fontId="0" fillId="0" borderId="86" xfId="0" applyNumberFormat="1" applyBorder="1" applyAlignment="1">
      <alignment horizontal="center" vertical="center" wrapText="1"/>
    </xf>
    <xf numFmtId="0" fontId="0" fillId="0" borderId="87" xfId="0" applyBorder="1" applyAlignment="1">
      <alignment horizontal="center" vertical="center" wrapText="1"/>
    </xf>
    <xf numFmtId="167" fontId="37" fillId="0" borderId="75" xfId="0" applyNumberFormat="1" applyFont="1" applyBorder="1" applyAlignment="1">
      <alignment horizontal="center"/>
    </xf>
    <xf numFmtId="0" fontId="37" fillId="0" borderId="75" xfId="0" applyFont="1" applyBorder="1" applyAlignment="1">
      <alignment horizontal="center" vertical="center" textRotation="255"/>
    </xf>
    <xf numFmtId="0" fontId="1" fillId="0" borderId="59" xfId="0" applyFont="1" applyBorder="1" applyAlignment="1">
      <alignment horizontal="center" vertical="center"/>
    </xf>
    <xf numFmtId="42" fontId="9" fillId="0" borderId="59" xfId="4" applyBorder="1" applyAlignment="1">
      <alignment horizontal="center" vertical="center"/>
    </xf>
    <xf numFmtId="9" fontId="1" fillId="0" borderId="59" xfId="0" applyNumberFormat="1" applyFont="1" applyBorder="1" applyAlignment="1">
      <alignment horizontal="center" vertical="center"/>
    </xf>
    <xf numFmtId="9" fontId="1" fillId="0" borderId="62" xfId="0" applyNumberFormat="1" applyFont="1" applyBorder="1" applyAlignment="1">
      <alignment horizontal="center" vertical="center"/>
    </xf>
    <xf numFmtId="0" fontId="0" fillId="0" borderId="63" xfId="0" applyBorder="1"/>
    <xf numFmtId="0" fontId="1" fillId="0" borderId="88" xfId="0" applyFont="1" applyBorder="1" applyAlignment="1">
      <alignment horizontal="center" vertical="center"/>
    </xf>
    <xf numFmtId="0" fontId="1" fillId="0" borderId="89" xfId="0" applyFont="1" applyBorder="1" applyAlignment="1">
      <alignment horizontal="center" vertical="center"/>
    </xf>
    <xf numFmtId="17" fontId="0" fillId="0" borderId="68" xfId="0" applyNumberFormat="1" applyBorder="1" applyAlignment="1">
      <alignment horizontal="center" vertical="center"/>
    </xf>
    <xf numFmtId="17" fontId="0" fillId="0" borderId="42" xfId="0" applyNumberFormat="1" applyBorder="1" applyAlignment="1">
      <alignment horizontal="center" vertical="center" wrapText="1"/>
    </xf>
    <xf numFmtId="167" fontId="12" fillId="0" borderId="68" xfId="0" applyNumberFormat="1" applyFont="1" applyBorder="1" applyAlignment="1">
      <alignment horizontal="left"/>
    </xf>
    <xf numFmtId="167" fontId="12" fillId="0" borderId="62" xfId="0" applyNumberFormat="1" applyFont="1" applyBorder="1" applyAlignment="1">
      <alignment horizontal="center"/>
    </xf>
    <xf numFmtId="0" fontId="0" fillId="0" borderId="69" xfId="0" applyBorder="1" applyAlignment="1">
      <alignment horizontal="center" vertical="center"/>
    </xf>
    <xf numFmtId="0" fontId="0" fillId="0" borderId="69" xfId="0" applyBorder="1" applyAlignment="1">
      <alignment horizontal="center" vertical="center" wrapText="1"/>
    </xf>
    <xf numFmtId="42" fontId="9" fillId="0" borderId="69" xfId="4" applyBorder="1" applyAlignment="1">
      <alignment horizontal="center" vertical="center"/>
    </xf>
    <xf numFmtId="9" fontId="12" fillId="0" borderId="69" xfId="0" applyNumberFormat="1" applyFont="1" applyBorder="1" applyAlignment="1">
      <alignment horizontal="center" vertical="center"/>
    </xf>
    <xf numFmtId="9" fontId="0" fillId="0" borderId="42" xfId="0" applyNumberFormat="1" applyBorder="1" applyAlignment="1">
      <alignment horizontal="center" vertical="center"/>
    </xf>
    <xf numFmtId="0" fontId="0" fillId="0" borderId="90" xfId="0" applyBorder="1"/>
    <xf numFmtId="0" fontId="0" fillId="0" borderId="68" xfId="0" applyBorder="1" applyAlignment="1">
      <alignment horizontal="center" vertical="center"/>
    </xf>
    <xf numFmtId="17" fontId="1" fillId="0" borderId="42" xfId="0" applyNumberFormat="1" applyFont="1" applyBorder="1" applyAlignment="1">
      <alignment horizontal="center" vertical="center" wrapText="1"/>
    </xf>
    <xf numFmtId="167" fontId="12" fillId="0" borderId="61" xfId="0" applyNumberFormat="1" applyFont="1" applyBorder="1" applyAlignment="1">
      <alignment horizontal="left"/>
    </xf>
    <xf numFmtId="167" fontId="12" fillId="0" borderId="34" xfId="0" applyNumberFormat="1" applyFont="1" applyBorder="1" applyAlignment="1">
      <alignment horizontal="center"/>
    </xf>
    <xf numFmtId="0" fontId="19" fillId="0" borderId="73" xfId="0" applyFont="1" applyBorder="1" applyAlignment="1">
      <alignment horizontal="left" vertical="center" wrapText="1"/>
    </xf>
    <xf numFmtId="0" fontId="1" fillId="0" borderId="69" xfId="0" applyFont="1" applyBorder="1" applyAlignment="1">
      <alignment horizontal="center" vertical="center"/>
    </xf>
    <xf numFmtId="9" fontId="1" fillId="0" borderId="69" xfId="0" applyNumberFormat="1" applyFont="1" applyBorder="1" applyAlignment="1">
      <alignment horizontal="center" vertical="center"/>
    </xf>
    <xf numFmtId="6" fontId="34" fillId="0" borderId="42" xfId="0" applyNumberFormat="1" applyFont="1" applyBorder="1" applyAlignment="1">
      <alignment horizontal="center" vertical="center"/>
    </xf>
    <xf numFmtId="0" fontId="0" fillId="0" borderId="91" xfId="0" applyBorder="1"/>
    <xf numFmtId="167" fontId="12" fillId="0" borderId="64" xfId="0" applyNumberFormat="1" applyFont="1" applyBorder="1" applyAlignment="1">
      <alignment horizontal="left"/>
    </xf>
    <xf numFmtId="167" fontId="12" fillId="0" borderId="47" xfId="0" applyNumberFormat="1" applyFont="1" applyBorder="1" applyAlignment="1">
      <alignment horizontal="center"/>
    </xf>
    <xf numFmtId="9" fontId="1" fillId="0" borderId="42" xfId="0" applyNumberFormat="1" applyFont="1" applyBorder="1" applyAlignment="1">
      <alignment horizontal="center" vertical="center"/>
    </xf>
    <xf numFmtId="167" fontId="12" fillId="0" borderId="42" xfId="0" applyNumberFormat="1" applyFont="1" applyBorder="1" applyAlignment="1">
      <alignment horizontal="center"/>
    </xf>
    <xf numFmtId="0" fontId="37" fillId="0" borderId="92" xfId="0" applyFont="1" applyBorder="1" applyAlignment="1">
      <alignment vertical="center" wrapText="1"/>
    </xf>
    <xf numFmtId="49" fontId="0" fillId="0" borderId="61" xfId="0" applyNumberFormat="1" applyBorder="1" applyAlignment="1">
      <alignment horizontal="center" vertical="center"/>
    </xf>
    <xf numFmtId="0" fontId="0" fillId="0" borderId="62" xfId="0" applyBorder="1" applyAlignment="1">
      <alignment horizontal="center" vertical="center"/>
    </xf>
    <xf numFmtId="167" fontId="12" fillId="0" borderId="61" xfId="0" applyNumberFormat="1" applyFont="1" applyBorder="1" applyAlignment="1">
      <alignment horizontal="center" vertical="center"/>
    </xf>
    <xf numFmtId="167" fontId="12" fillId="0" borderId="93" xfId="0" applyNumberFormat="1" applyFont="1" applyBorder="1" applyAlignment="1">
      <alignment horizontal="center" vertical="center"/>
    </xf>
    <xf numFmtId="0" fontId="12" fillId="0" borderId="69" xfId="0" applyFont="1" applyBorder="1" applyAlignment="1">
      <alignment horizontal="center" vertical="center"/>
    </xf>
    <xf numFmtId="6" fontId="34" fillId="0" borderId="42" xfId="0" applyNumberFormat="1" applyFont="1" applyBorder="1" applyAlignment="1">
      <alignment horizontal="center" vertical="center"/>
    </xf>
    <xf numFmtId="49" fontId="0" fillId="0" borderId="68" xfId="0" applyNumberFormat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167" fontId="12" fillId="0" borderId="68" xfId="0" applyNumberFormat="1" applyFont="1" applyBorder="1" applyAlignment="1">
      <alignment horizontal="center" vertical="center"/>
    </xf>
    <xf numFmtId="167" fontId="12" fillId="0" borderId="77" xfId="0" applyNumberFormat="1" applyFont="1" applyBorder="1" applyAlignment="1">
      <alignment horizontal="center" vertical="center"/>
    </xf>
    <xf numFmtId="0" fontId="35" fillId="0" borderId="73" xfId="0" applyFont="1" applyBorder="1" applyAlignment="1">
      <alignment vertical="center" wrapText="1"/>
    </xf>
    <xf numFmtId="6" fontId="9" fillId="0" borderId="79" xfId="4" applyNumberFormat="1" applyBorder="1" applyAlignment="1">
      <alignment horizontal="center" vertical="center"/>
    </xf>
    <xf numFmtId="0" fontId="12" fillId="0" borderId="79" xfId="0" applyFont="1" applyBorder="1" applyAlignment="1">
      <alignment horizontal="center" vertical="center"/>
    </xf>
    <xf numFmtId="6" fontId="34" fillId="0" borderId="80" xfId="0" applyNumberFormat="1" applyFont="1" applyBorder="1" applyAlignment="1">
      <alignment horizontal="center" vertical="center"/>
    </xf>
    <xf numFmtId="0" fontId="1" fillId="0" borderId="78" xfId="0" applyFont="1" applyBorder="1" applyAlignment="1">
      <alignment horizontal="center" vertical="center"/>
    </xf>
    <xf numFmtId="0" fontId="1" fillId="0" borderId="83" xfId="0" applyFont="1" applyBorder="1" applyAlignment="1">
      <alignment horizontal="center" vertical="center"/>
    </xf>
    <xf numFmtId="49" fontId="0" fillId="0" borderId="78" xfId="0" applyNumberFormat="1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167" fontId="12" fillId="0" borderId="78" xfId="0" applyNumberFormat="1" applyFont="1" applyBorder="1" applyAlignment="1">
      <alignment horizontal="center" vertical="center"/>
    </xf>
    <xf numFmtId="167" fontId="12" fillId="0" borderId="83" xfId="0" applyNumberFormat="1" applyFont="1" applyBorder="1" applyAlignment="1">
      <alignment horizontal="center" vertical="center"/>
    </xf>
    <xf numFmtId="0" fontId="12" fillId="0" borderId="75" xfId="0" applyFont="1" applyBorder="1" applyAlignment="1">
      <alignment vertical="center" wrapText="1"/>
    </xf>
    <xf numFmtId="6" fontId="39" fillId="0" borderId="62" xfId="0" applyNumberFormat="1" applyFont="1" applyBorder="1" applyAlignment="1">
      <alignment horizontal="center" vertical="center"/>
    </xf>
    <xf numFmtId="17" fontId="1" fillId="0" borderId="93" xfId="0" applyNumberFormat="1" applyFont="1" applyBorder="1" applyAlignment="1">
      <alignment horizontal="center" vertical="center"/>
    </xf>
    <xf numFmtId="167" fontId="12" fillId="0" borderId="61" xfId="0" applyNumberFormat="1" applyFont="1" applyBorder="1" applyAlignment="1">
      <alignment horizontal="center"/>
    </xf>
    <xf numFmtId="167" fontId="12" fillId="0" borderId="93" xfId="0" applyNumberFormat="1" applyFont="1" applyBorder="1" applyAlignment="1">
      <alignment horizontal="center"/>
    </xf>
    <xf numFmtId="0" fontId="12" fillId="21" borderId="73" xfId="0" applyFont="1" applyFill="1" applyBorder="1" applyAlignment="1">
      <alignment vertical="center" wrapText="1"/>
    </xf>
    <xf numFmtId="9" fontId="39" fillId="0" borderId="42" xfId="0" applyNumberFormat="1" applyFont="1" applyBorder="1" applyAlignment="1">
      <alignment horizontal="center" vertical="center"/>
    </xf>
    <xf numFmtId="49" fontId="1" fillId="0" borderId="85" xfId="0" applyNumberFormat="1" applyFont="1" applyBorder="1" applyAlignment="1">
      <alignment horizontal="center" vertical="center" wrapText="1"/>
    </xf>
    <xf numFmtId="17" fontId="1" fillId="0" borderId="77" xfId="0" applyNumberFormat="1" applyFont="1" applyBorder="1" applyAlignment="1">
      <alignment horizontal="center" vertical="center"/>
    </xf>
    <xf numFmtId="0" fontId="19" fillId="0" borderId="74" xfId="0" applyFont="1" applyBorder="1" applyAlignment="1">
      <alignment vertical="top" wrapText="1"/>
    </xf>
    <xf numFmtId="0" fontId="1" fillId="0" borderId="68" xfId="0" applyFont="1" applyBorder="1" applyAlignment="1">
      <alignment horizontal="center" vertical="center"/>
    </xf>
    <xf numFmtId="0" fontId="1" fillId="0" borderId="77" xfId="0" applyFont="1" applyBorder="1" applyAlignment="1">
      <alignment horizontal="center" vertical="center"/>
    </xf>
    <xf numFmtId="0" fontId="0" fillId="0" borderId="94" xfId="0" applyBorder="1" applyAlignment="1">
      <alignment horizontal="center" vertical="center" wrapText="1"/>
    </xf>
    <xf numFmtId="9" fontId="39" fillId="0" borderId="80" xfId="0" applyNumberFormat="1" applyFont="1" applyBorder="1" applyAlignment="1">
      <alignment horizontal="center" vertical="center"/>
    </xf>
    <xf numFmtId="0" fontId="23" fillId="0" borderId="75" xfId="0" applyFont="1" applyBorder="1" applyAlignment="1">
      <alignment vertical="center"/>
    </xf>
    <xf numFmtId="49" fontId="1" fillId="0" borderId="86" xfId="0" applyNumberFormat="1" applyFont="1" applyBorder="1" applyAlignment="1">
      <alignment horizontal="center" vertical="center" wrapText="1"/>
    </xf>
    <xf numFmtId="17" fontId="1" fillId="0" borderId="83" xfId="0" applyNumberFormat="1" applyFont="1" applyBorder="1" applyAlignment="1">
      <alignment horizontal="center" vertical="center"/>
    </xf>
    <xf numFmtId="0" fontId="19" fillId="0" borderId="74" xfId="0" applyFont="1" applyBorder="1" applyAlignment="1">
      <alignment horizontal="left" vertical="center" wrapText="1"/>
    </xf>
    <xf numFmtId="0" fontId="1" fillId="0" borderId="95" xfId="0" applyFont="1" applyBorder="1"/>
    <xf numFmtId="49" fontId="0" fillId="0" borderId="96" xfId="0" applyNumberFormat="1" applyBorder="1" applyAlignment="1">
      <alignment horizontal="center" vertical="center"/>
    </xf>
    <xf numFmtId="167" fontId="37" fillId="0" borderId="64" xfId="0" applyNumberFormat="1" applyFont="1" applyBorder="1" applyAlignment="1">
      <alignment horizontal="center"/>
    </xf>
    <xf numFmtId="167" fontId="12" fillId="0" borderId="65" xfId="0" applyNumberFormat="1" applyFont="1" applyBorder="1" applyAlignment="1">
      <alignment horizontal="center"/>
    </xf>
    <xf numFmtId="0" fontId="19" fillId="0" borderId="67" xfId="0" applyFont="1" applyBorder="1" applyAlignment="1">
      <alignment horizontal="center" vertical="center" textRotation="255"/>
    </xf>
    <xf numFmtId="0" fontId="1" fillId="0" borderId="97" xfId="0" applyFont="1" applyBorder="1"/>
    <xf numFmtId="49" fontId="0" fillId="0" borderId="43" xfId="0" applyNumberFormat="1" applyBorder="1" applyAlignment="1">
      <alignment horizontal="center" vertical="center"/>
    </xf>
    <xf numFmtId="167" fontId="12" fillId="0" borderId="71" xfId="0" applyNumberFormat="1" applyFont="1" applyBorder="1" applyAlignment="1">
      <alignment horizontal="center"/>
    </xf>
    <xf numFmtId="167" fontId="12" fillId="0" borderId="72" xfId="0" applyNumberFormat="1" applyFont="1" applyBorder="1" applyAlignment="1">
      <alignment horizontal="center"/>
    </xf>
    <xf numFmtId="0" fontId="19" fillId="0" borderId="73" xfId="0" applyFont="1" applyBorder="1" applyAlignment="1">
      <alignment horizontal="center" vertical="center" textRotation="255"/>
    </xf>
    <xf numFmtId="0" fontId="0" fillId="0" borderId="97" xfId="0" applyBorder="1"/>
    <xf numFmtId="0" fontId="1" fillId="0" borderId="42" xfId="0" applyFont="1" applyBorder="1" applyAlignment="1">
      <alignment horizontal="center" vertical="center"/>
    </xf>
    <xf numFmtId="0" fontId="1" fillId="0" borderId="98" xfId="0" applyFont="1" applyBorder="1"/>
    <xf numFmtId="0" fontId="12" fillId="22" borderId="74" xfId="0" applyFont="1" applyFill="1" applyBorder="1" applyAlignment="1">
      <alignment vertical="center" wrapText="1"/>
    </xf>
    <xf numFmtId="0" fontId="0" fillId="0" borderId="98" xfId="0" applyBorder="1"/>
    <xf numFmtId="49" fontId="0" fillId="0" borderId="99" xfId="0" applyNumberFormat="1" applyBorder="1" applyAlignment="1">
      <alignment horizontal="center" vertical="center"/>
    </xf>
    <xf numFmtId="0" fontId="1" fillId="0" borderId="80" xfId="0" applyFont="1" applyBorder="1" applyAlignment="1">
      <alignment horizontal="center" vertical="center"/>
    </xf>
    <xf numFmtId="167" fontId="40" fillId="0" borderId="81" xfId="0" applyNumberFormat="1" applyFont="1" applyBorder="1" applyAlignment="1">
      <alignment horizontal="center"/>
    </xf>
    <xf numFmtId="167" fontId="12" fillId="0" borderId="82" xfId="0" applyNumberFormat="1" applyFont="1" applyBorder="1" applyAlignment="1">
      <alignment horizontal="center"/>
    </xf>
    <xf numFmtId="0" fontId="19" fillId="0" borderId="75" xfId="0" applyFont="1" applyBorder="1" applyAlignment="1">
      <alignment horizontal="center" vertical="center" textRotation="255"/>
    </xf>
    <xf numFmtId="0" fontId="12" fillId="0" borderId="61" xfId="0" applyFont="1" applyBorder="1" applyAlignment="1">
      <alignment horizontal="center" vertical="center" wrapText="1"/>
    </xf>
    <xf numFmtId="167" fontId="35" fillId="0" borderId="64" xfId="0" applyNumberFormat="1" applyFont="1" applyBorder="1" applyAlignment="1">
      <alignment horizontal="center" vertical="center"/>
    </xf>
    <xf numFmtId="167" fontId="37" fillId="0" borderId="63" xfId="0" applyNumberFormat="1" applyFont="1" applyBorder="1" applyAlignment="1">
      <alignment horizontal="center" vertical="center"/>
    </xf>
    <xf numFmtId="0" fontId="12" fillId="21" borderId="74" xfId="0" applyFont="1" applyFill="1" applyBorder="1" applyAlignment="1">
      <alignment vertical="center" wrapText="1"/>
    </xf>
    <xf numFmtId="167" fontId="12" fillId="0" borderId="71" xfId="0" applyNumberFormat="1" applyFont="1" applyBorder="1" applyAlignment="1">
      <alignment horizontal="center" vertical="center"/>
    </xf>
    <xf numFmtId="167" fontId="12" fillId="0" borderId="70" xfId="0" applyNumberFormat="1" applyFont="1" applyBorder="1" applyAlignment="1">
      <alignment horizontal="center" vertical="center"/>
    </xf>
    <xf numFmtId="0" fontId="19" fillId="0" borderId="74" xfId="0" applyFont="1" applyBorder="1" applyAlignment="1">
      <alignment vertical="center" wrapText="1"/>
    </xf>
    <xf numFmtId="167" fontId="12" fillId="0" borderId="92" xfId="0" applyNumberFormat="1" applyFont="1" applyBorder="1" applyAlignment="1">
      <alignment horizontal="center" vertical="center"/>
    </xf>
    <xf numFmtId="167" fontId="37" fillId="0" borderId="92" xfId="0" applyNumberFormat="1" applyFont="1" applyBorder="1" applyAlignment="1">
      <alignment horizontal="center" vertical="center"/>
    </xf>
    <xf numFmtId="0" fontId="12" fillId="0" borderId="74" xfId="0" applyFont="1" applyBorder="1" applyAlignment="1">
      <alignment horizontal="left" vertical="center" wrapText="1"/>
    </xf>
    <xf numFmtId="0" fontId="12" fillId="0" borderId="59" xfId="0" applyFont="1" applyBorder="1" applyAlignment="1">
      <alignment horizontal="center" vertical="center"/>
    </xf>
    <xf numFmtId="10" fontId="41" fillId="0" borderId="93" xfId="0" applyNumberFormat="1" applyFont="1" applyBorder="1" applyAlignment="1">
      <alignment horizontal="center" vertical="center"/>
    </xf>
    <xf numFmtId="17" fontId="0" fillId="0" borderId="61" xfId="0" applyNumberFormat="1" applyBorder="1" applyAlignment="1">
      <alignment horizontal="center" vertical="center" wrapText="1"/>
    </xf>
    <xf numFmtId="0" fontId="42" fillId="0" borderId="59" xfId="0" applyFont="1" applyBorder="1" applyAlignment="1">
      <alignment horizontal="center" vertical="center" wrapText="1"/>
    </xf>
    <xf numFmtId="0" fontId="0" fillId="0" borderId="93" xfId="0" applyBorder="1" applyAlignment="1">
      <alignment horizontal="center" vertical="center"/>
    </xf>
    <xf numFmtId="167" fontId="12" fillId="0" borderId="64" xfId="0" applyNumberFormat="1" applyFont="1" applyBorder="1" applyAlignment="1">
      <alignment horizontal="center" vertical="center"/>
    </xf>
    <xf numFmtId="167" fontId="12" fillId="0" borderId="100" xfId="0" applyNumberFormat="1" applyFont="1" applyBorder="1" applyAlignment="1">
      <alignment horizontal="center" vertical="center"/>
    </xf>
    <xf numFmtId="0" fontId="41" fillId="0" borderId="77" xfId="0" applyFont="1" applyBorder="1" applyAlignment="1">
      <alignment horizontal="center" vertical="center"/>
    </xf>
    <xf numFmtId="0" fontId="42" fillId="0" borderId="69" xfId="0" applyFont="1" applyBorder="1" applyAlignment="1">
      <alignment horizontal="center" vertical="center" wrapText="1"/>
    </xf>
    <xf numFmtId="17" fontId="0" fillId="0" borderId="77" xfId="0" applyNumberFormat="1" applyBorder="1" applyAlignment="1">
      <alignment horizontal="center" vertical="center" wrapText="1"/>
    </xf>
    <xf numFmtId="167" fontId="12" fillId="0" borderId="47" xfId="0" applyNumberFormat="1" applyFont="1" applyBorder="1" applyAlignment="1">
      <alignment horizontal="center" vertical="center"/>
    </xf>
    <xf numFmtId="17" fontId="0" fillId="0" borderId="77" xfId="0" applyNumberFormat="1" applyBorder="1" applyAlignment="1">
      <alignment horizontal="center" vertical="center"/>
    </xf>
    <xf numFmtId="167" fontId="12" fillId="0" borderId="42" xfId="0" applyNumberFormat="1" applyFont="1" applyBorder="1" applyAlignment="1">
      <alignment horizontal="center" vertical="center"/>
    </xf>
    <xf numFmtId="167" fontId="12" fillId="0" borderId="54" xfId="0" applyNumberFormat="1" applyFont="1" applyBorder="1" applyAlignment="1">
      <alignment horizontal="center" vertical="center"/>
    </xf>
    <xf numFmtId="167" fontId="12" fillId="0" borderId="57" xfId="0" applyNumberFormat="1" applyFont="1" applyBorder="1" applyAlignment="1">
      <alignment horizontal="center" vertical="center"/>
    </xf>
    <xf numFmtId="0" fontId="23" fillId="0" borderId="73" xfId="0" applyFont="1" applyBorder="1" applyAlignment="1">
      <alignment vertical="center" wrapText="1"/>
    </xf>
    <xf numFmtId="0" fontId="41" fillId="0" borderId="83" xfId="0" applyFont="1" applyBorder="1" applyAlignment="1">
      <alignment horizontal="center" vertical="center"/>
    </xf>
    <xf numFmtId="0" fontId="42" fillId="0" borderId="79" xfId="0" applyFont="1" applyBorder="1" applyAlignment="1">
      <alignment horizontal="center" vertical="center" wrapText="1"/>
    </xf>
    <xf numFmtId="0" fontId="0" fillId="0" borderId="83" xfId="0" applyBorder="1" applyAlignment="1">
      <alignment horizontal="center" vertical="center"/>
    </xf>
    <xf numFmtId="167" fontId="12" fillId="0" borderId="80" xfId="0" applyNumberFormat="1" applyFont="1" applyBorder="1" applyAlignment="1">
      <alignment horizontal="center" vertical="center"/>
    </xf>
    <xf numFmtId="0" fontId="23" fillId="0" borderId="75" xfId="0" applyFont="1" applyBorder="1" applyAlignment="1">
      <alignment vertical="center" wrapText="1"/>
    </xf>
    <xf numFmtId="0" fontId="12" fillId="0" borderId="68" xfId="0" applyFont="1" applyBorder="1" applyAlignment="1">
      <alignment horizontal="center" vertical="center" wrapText="1"/>
    </xf>
    <xf numFmtId="0" fontId="35" fillId="0" borderId="59" xfId="0" applyFont="1" applyBorder="1" applyAlignment="1">
      <alignment horizontal="center" vertical="center"/>
    </xf>
    <xf numFmtId="9" fontId="41" fillId="0" borderId="93" xfId="0" applyNumberFormat="1" applyFont="1" applyBorder="1" applyAlignment="1">
      <alignment horizontal="center" vertical="center"/>
    </xf>
    <xf numFmtId="167" fontId="12" fillId="0" borderId="72" xfId="0" applyNumberFormat="1" applyFont="1" applyBorder="1" applyAlignment="1">
      <alignment horizontal="center" vertical="center"/>
    </xf>
    <xf numFmtId="0" fontId="35" fillId="0" borderId="69" xfId="0" applyFont="1" applyBorder="1" applyAlignment="1">
      <alignment horizontal="center" vertical="center"/>
    </xf>
    <xf numFmtId="0" fontId="1" fillId="0" borderId="73" xfId="0" applyFont="1" applyBorder="1"/>
    <xf numFmtId="0" fontId="35" fillId="0" borderId="79" xfId="0" applyFont="1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167" fontId="12" fillId="0" borderId="59" xfId="0" applyNumberFormat="1" applyFont="1" applyBorder="1" applyAlignment="1">
      <alignment horizontal="center" vertical="center"/>
    </xf>
    <xf numFmtId="167" fontId="41" fillId="0" borderId="62" xfId="0" applyNumberFormat="1" applyFont="1" applyBorder="1" applyAlignment="1">
      <alignment horizontal="center" vertical="center" wrapText="1"/>
    </xf>
    <xf numFmtId="167" fontId="12" fillId="0" borderId="69" xfId="0" applyNumberFormat="1" applyFont="1" applyBorder="1" applyAlignment="1">
      <alignment horizontal="center" vertical="center"/>
    </xf>
    <xf numFmtId="167" fontId="41" fillId="0" borderId="42" xfId="0" applyNumberFormat="1" applyFont="1" applyBorder="1" applyAlignment="1">
      <alignment horizontal="center" vertical="center" wrapText="1"/>
    </xf>
    <xf numFmtId="17" fontId="0" fillId="0" borderId="68" xfId="0" applyNumberFormat="1" applyBorder="1" applyAlignment="1">
      <alignment horizontal="center" vertical="center" wrapText="1"/>
    </xf>
    <xf numFmtId="0" fontId="12" fillId="19" borderId="73" xfId="0" applyFont="1" applyFill="1" applyBorder="1" applyAlignment="1">
      <alignment vertical="center" wrapText="1"/>
    </xf>
    <xf numFmtId="0" fontId="35" fillId="0" borderId="73" xfId="0" applyFont="1" applyBorder="1" applyAlignment="1">
      <alignment wrapText="1"/>
    </xf>
    <xf numFmtId="167" fontId="12" fillId="0" borderId="79" xfId="0" applyNumberFormat="1" applyFont="1" applyBorder="1" applyAlignment="1">
      <alignment horizontal="center" vertical="center"/>
    </xf>
    <xf numFmtId="167" fontId="41" fillId="0" borderId="80" xfId="0" applyNumberFormat="1" applyFont="1" applyBorder="1" applyAlignment="1">
      <alignment horizontal="center" vertical="center" wrapText="1"/>
    </xf>
    <xf numFmtId="17" fontId="0" fillId="0" borderId="78" xfId="0" applyNumberFormat="1" applyBorder="1" applyAlignment="1">
      <alignment horizontal="center" vertical="center" wrapText="1"/>
    </xf>
    <xf numFmtId="9" fontId="41" fillId="0" borderId="93" xfId="0" applyNumberFormat="1" applyFont="1" applyBorder="1" applyAlignment="1">
      <alignment horizontal="center" vertical="center" wrapText="1"/>
    </xf>
    <xf numFmtId="0" fontId="12" fillId="0" borderId="59" xfId="0" applyFont="1" applyBorder="1" applyAlignment="1">
      <alignment horizontal="center" vertical="center" wrapText="1"/>
    </xf>
    <xf numFmtId="10" fontId="12" fillId="0" borderId="64" xfId="0" applyNumberFormat="1" applyFont="1" applyBorder="1" applyAlignment="1">
      <alignment horizontal="center" vertical="center"/>
    </xf>
    <xf numFmtId="10" fontId="12" fillId="0" borderId="65" xfId="0" applyNumberFormat="1" applyFont="1" applyBorder="1" applyAlignment="1">
      <alignment horizontal="center" vertical="center"/>
    </xf>
    <xf numFmtId="9" fontId="41" fillId="0" borderId="77" xfId="0" applyNumberFormat="1" applyFont="1" applyBorder="1" applyAlignment="1">
      <alignment horizontal="center" vertical="center" wrapText="1"/>
    </xf>
    <xf numFmtId="10" fontId="12" fillId="0" borderId="88" xfId="0" applyNumberFormat="1" applyFont="1" applyBorder="1" applyAlignment="1">
      <alignment horizontal="center" vertical="center"/>
    </xf>
    <xf numFmtId="10" fontId="12" fillId="0" borderId="89" xfId="0" applyNumberFormat="1" applyFont="1" applyBorder="1" applyAlignment="1">
      <alignment horizontal="center" vertical="center"/>
    </xf>
    <xf numFmtId="0" fontId="1" fillId="0" borderId="68" xfId="0" applyFont="1" applyBorder="1" applyAlignment="1">
      <alignment horizontal="center" vertical="center" wrapText="1"/>
    </xf>
    <xf numFmtId="0" fontId="35" fillId="0" borderId="73" xfId="0" applyFont="1" applyBorder="1" applyAlignment="1">
      <alignment vertical="top" wrapText="1"/>
    </xf>
    <xf numFmtId="0" fontId="1" fillId="0" borderId="78" xfId="0" applyFont="1" applyBorder="1" applyAlignment="1">
      <alignment horizontal="center" vertical="center" wrapText="1"/>
    </xf>
    <xf numFmtId="0" fontId="1" fillId="0" borderId="79" xfId="0" applyFont="1" applyBorder="1" applyAlignment="1">
      <alignment horizontal="center" vertical="center" wrapText="1"/>
    </xf>
    <xf numFmtId="9" fontId="41" fillId="0" borderId="83" xfId="0" applyNumberFormat="1" applyFont="1" applyBorder="1" applyAlignment="1">
      <alignment horizontal="center" vertical="center" wrapText="1"/>
    </xf>
    <xf numFmtId="0" fontId="1" fillId="0" borderId="75" xfId="0" applyFont="1" applyBorder="1"/>
    <xf numFmtId="0" fontId="1" fillId="0" borderId="80" xfId="0" applyFont="1" applyBorder="1" applyAlignment="1">
      <alignment horizontal="center" vertical="center"/>
    </xf>
    <xf numFmtId="10" fontId="12" fillId="0" borderId="68" xfId="0" applyNumberFormat="1" applyFont="1" applyBorder="1" applyAlignment="1">
      <alignment horizontal="center" vertical="center"/>
    </xf>
    <xf numFmtId="10" fontId="12" fillId="0" borderId="101" xfId="0" applyNumberFormat="1" applyFont="1" applyBorder="1" applyAlignment="1">
      <alignment horizontal="center" vertical="center"/>
    </xf>
    <xf numFmtId="9" fontId="34" fillId="0" borderId="93" xfId="0" applyNumberFormat="1" applyFont="1" applyBorder="1" applyAlignment="1">
      <alignment horizontal="center" vertical="center"/>
    </xf>
    <xf numFmtId="0" fontId="1" fillId="0" borderId="61" xfId="0" applyFont="1" applyBorder="1" applyAlignment="1">
      <alignment horizontal="center" vertical="center" wrapText="1"/>
    </xf>
    <xf numFmtId="0" fontId="1" fillId="0" borderId="59" xfId="0" applyFont="1" applyBorder="1" applyAlignment="1">
      <alignment horizontal="center" vertical="center" wrapText="1"/>
    </xf>
    <xf numFmtId="167" fontId="12" fillId="0" borderId="64" xfId="0" applyNumberFormat="1" applyFont="1" applyBorder="1" applyAlignment="1">
      <alignment horizontal="center"/>
    </xf>
    <xf numFmtId="9" fontId="34" fillId="0" borderId="77" xfId="0" applyNumberFormat="1" applyFont="1" applyBorder="1" applyAlignment="1">
      <alignment horizontal="center" vertical="center"/>
    </xf>
    <xf numFmtId="0" fontId="1" fillId="0" borderId="68" xfId="0" applyFont="1" applyBorder="1" applyAlignment="1">
      <alignment horizontal="center" vertical="center" wrapText="1"/>
    </xf>
    <xf numFmtId="0" fontId="1" fillId="0" borderId="69" xfId="0" applyFont="1" applyBorder="1" applyAlignment="1">
      <alignment horizontal="center" vertical="center" wrapText="1"/>
    </xf>
    <xf numFmtId="167" fontId="12" fillId="0" borderId="88" xfId="0" applyNumberFormat="1" applyFont="1" applyBorder="1" applyAlignment="1">
      <alignment horizontal="center"/>
    </xf>
    <xf numFmtId="167" fontId="12" fillId="0" borderId="89" xfId="0" applyNumberFormat="1" applyFont="1" applyBorder="1" applyAlignment="1">
      <alignment horizontal="center"/>
    </xf>
    <xf numFmtId="0" fontId="12" fillId="23" borderId="73" xfId="0" applyFont="1" applyFill="1" applyBorder="1" applyAlignment="1">
      <alignment vertical="center" wrapText="1"/>
    </xf>
    <xf numFmtId="17" fontId="0" fillId="0" borderId="68" xfId="0" applyNumberFormat="1" applyBorder="1" applyAlignment="1">
      <alignment horizontal="center" vertical="center" wrapText="1"/>
    </xf>
    <xf numFmtId="0" fontId="46" fillId="0" borderId="0" xfId="0" applyFont="1" applyAlignment="1">
      <alignment vertical="top" wrapText="1"/>
    </xf>
    <xf numFmtId="9" fontId="34" fillId="0" borderId="83" xfId="0" applyNumberFormat="1" applyFont="1" applyBorder="1" applyAlignment="1">
      <alignment horizontal="center" vertical="center"/>
    </xf>
    <xf numFmtId="0" fontId="1" fillId="0" borderId="78" xfId="0" applyFont="1" applyBorder="1" applyAlignment="1">
      <alignment horizontal="center" vertical="center" wrapText="1"/>
    </xf>
    <xf numFmtId="0" fontId="1" fillId="0" borderId="79" xfId="0" applyFont="1" applyBorder="1" applyAlignment="1">
      <alignment horizontal="center" vertical="center" wrapText="1"/>
    </xf>
    <xf numFmtId="17" fontId="1" fillId="0" borderId="80" xfId="0" applyNumberFormat="1" applyFont="1" applyBorder="1" applyAlignment="1">
      <alignment horizontal="center" vertical="center"/>
    </xf>
    <xf numFmtId="167" fontId="12" fillId="0" borderId="81" xfId="0" applyNumberFormat="1" applyFont="1" applyBorder="1" applyAlignment="1">
      <alignment horizontal="center"/>
    </xf>
    <xf numFmtId="0" fontId="35" fillId="15" borderId="75" xfId="0" applyFont="1" applyFill="1" applyBorder="1" applyAlignment="1">
      <alignment vertical="center" wrapText="1"/>
    </xf>
    <xf numFmtId="6" fontId="34" fillId="0" borderId="62" xfId="0" applyNumberFormat="1" applyFont="1" applyBorder="1" applyAlignment="1">
      <alignment horizontal="center" vertical="center" wrapText="1"/>
    </xf>
    <xf numFmtId="17" fontId="0" fillId="0" borderId="62" xfId="0" applyNumberFormat="1" applyBorder="1" applyAlignment="1">
      <alignment horizontal="center" vertical="center"/>
    </xf>
    <xf numFmtId="167" fontId="12" fillId="0" borderId="65" xfId="0" applyNumberFormat="1" applyFont="1" applyBorder="1" applyAlignment="1">
      <alignment horizontal="center" vertical="center"/>
    </xf>
    <xf numFmtId="0" fontId="12" fillId="0" borderId="0" xfId="0" applyFont="1" applyAlignment="1">
      <alignment textRotation="255"/>
    </xf>
    <xf numFmtId="0" fontId="34" fillId="0" borderId="42" xfId="0" applyFont="1" applyBorder="1" applyAlignment="1">
      <alignment horizontal="center" vertical="center" wrapText="1"/>
    </xf>
    <xf numFmtId="17" fontId="0" fillId="0" borderId="42" xfId="0" applyNumberFormat="1" applyBorder="1" applyAlignment="1">
      <alignment horizontal="center" vertical="center"/>
    </xf>
    <xf numFmtId="167" fontId="12" fillId="0" borderId="88" xfId="0" applyNumberFormat="1" applyFont="1" applyBorder="1" applyAlignment="1">
      <alignment horizontal="center" vertical="center"/>
    </xf>
    <xf numFmtId="167" fontId="12" fillId="0" borderId="89" xfId="0" applyNumberFormat="1" applyFont="1" applyBorder="1" applyAlignment="1">
      <alignment horizontal="center" vertical="center"/>
    </xf>
    <xf numFmtId="0" fontId="1" fillId="0" borderId="102" xfId="0" applyFont="1" applyBorder="1" applyAlignment="1">
      <alignment horizontal="center" vertical="center"/>
    </xf>
    <xf numFmtId="0" fontId="1" fillId="0" borderId="101" xfId="0" applyFont="1" applyBorder="1" applyAlignment="1">
      <alignment horizontal="center" vertical="center"/>
    </xf>
    <xf numFmtId="0" fontId="34" fillId="0" borderId="80" xfId="0" applyFont="1" applyBorder="1" applyAlignment="1">
      <alignment horizontal="center" vertical="center" wrapText="1"/>
    </xf>
    <xf numFmtId="0" fontId="0" fillId="0" borderId="92" xfId="0" applyBorder="1"/>
    <xf numFmtId="17" fontId="0" fillId="0" borderId="80" xfId="0" applyNumberFormat="1" applyBorder="1" applyAlignment="1">
      <alignment horizontal="center" vertical="center"/>
    </xf>
    <xf numFmtId="167" fontId="12" fillId="0" borderId="81" xfId="0" applyNumberFormat="1" applyFont="1" applyBorder="1" applyAlignment="1">
      <alignment horizontal="center" vertical="center"/>
    </xf>
    <xf numFmtId="167" fontId="12" fillId="0" borderId="82" xfId="0" applyNumberFormat="1" applyFont="1" applyBorder="1" applyAlignment="1">
      <alignment horizontal="center" vertical="center"/>
    </xf>
    <xf numFmtId="9" fontId="12" fillId="0" borderId="69" xfId="0" applyNumberFormat="1" applyFont="1" applyBorder="1" applyAlignment="1">
      <alignment horizontal="center" vertical="center" wrapText="1"/>
    </xf>
    <xf numFmtId="6" fontId="34" fillId="0" borderId="42" xfId="0" applyNumberFormat="1" applyFont="1" applyBorder="1" applyAlignment="1">
      <alignment horizontal="center" vertical="center" wrapText="1"/>
    </xf>
    <xf numFmtId="0" fontId="12" fillId="0" borderId="0" xfId="0" applyFont="1" applyAlignment="1">
      <alignment horizontal="center" vertical="top" textRotation="255"/>
    </xf>
    <xf numFmtId="0" fontId="47" fillId="0" borderId="0" xfId="0" applyFont="1"/>
    <xf numFmtId="0" fontId="0" fillId="0" borderId="73" xfId="0" applyBorder="1"/>
    <xf numFmtId="167" fontId="23" fillId="0" borderId="77" xfId="0" applyNumberFormat="1" applyFont="1" applyBorder="1" applyAlignment="1">
      <alignment horizontal="center" vertical="center"/>
    </xf>
    <xf numFmtId="0" fontId="12" fillId="16" borderId="67" xfId="0" applyFont="1" applyFill="1" applyBorder="1" applyAlignment="1">
      <alignment wrapText="1"/>
    </xf>
    <xf numFmtId="9" fontId="12" fillId="0" borderId="79" xfId="0" applyNumberFormat="1" applyFont="1" applyBorder="1" applyAlignment="1">
      <alignment horizontal="center" vertical="center" wrapText="1"/>
    </xf>
    <xf numFmtId="167" fontId="23" fillId="0" borderId="78" xfId="0" applyNumberFormat="1" applyFont="1" applyBorder="1" applyAlignment="1">
      <alignment horizontal="center" vertical="center"/>
    </xf>
    <xf numFmtId="167" fontId="23" fillId="0" borderId="83" xfId="0" applyNumberFormat="1" applyFont="1" applyBorder="1" applyAlignment="1">
      <alignment horizontal="center" vertical="center"/>
    </xf>
    <xf numFmtId="0" fontId="0" fillId="0" borderId="67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/>
    </xf>
    <xf numFmtId="42" fontId="9" fillId="0" borderId="62" xfId="4" applyBorder="1" applyAlignment="1">
      <alignment horizontal="center" vertical="center"/>
    </xf>
    <xf numFmtId="6" fontId="41" fillId="0" borderId="93" xfId="0" applyNumberFormat="1" applyFont="1" applyBorder="1" applyAlignment="1">
      <alignment horizontal="center" vertical="center" wrapText="1"/>
    </xf>
    <xf numFmtId="17" fontId="12" fillId="0" borderId="61" xfId="0" applyNumberFormat="1" applyFont="1" applyBorder="1" applyAlignment="1">
      <alignment horizontal="center" vertical="center" wrapText="1"/>
    </xf>
    <xf numFmtId="17" fontId="0" fillId="0" borderId="93" xfId="0" applyNumberFormat="1" applyBorder="1" applyAlignment="1">
      <alignment horizontal="center" vertical="center"/>
    </xf>
    <xf numFmtId="167" fontId="19" fillId="0" borderId="65" xfId="0" applyNumberFormat="1" applyFont="1" applyBorder="1" applyAlignment="1">
      <alignment horizontal="center" vertical="center"/>
    </xf>
    <xf numFmtId="0" fontId="0" fillId="0" borderId="73" xfId="0" applyBorder="1" applyAlignment="1">
      <alignment horizontal="center" vertical="center" wrapText="1"/>
    </xf>
    <xf numFmtId="42" fontId="9" fillId="0" borderId="42" xfId="4" applyBorder="1" applyAlignment="1">
      <alignment horizontal="center" vertical="center"/>
    </xf>
    <xf numFmtId="0" fontId="41" fillId="0" borderId="77" xfId="0" applyFont="1" applyBorder="1" applyAlignment="1">
      <alignment horizontal="center" vertical="center" wrapText="1"/>
    </xf>
    <xf numFmtId="17" fontId="0" fillId="0" borderId="77" xfId="0" applyNumberFormat="1" applyBorder="1" applyAlignment="1">
      <alignment horizontal="center" vertical="center"/>
    </xf>
    <xf numFmtId="0" fontId="12" fillId="0" borderId="74" xfId="0" applyFont="1" applyBorder="1" applyAlignment="1">
      <alignment vertical="center" wrapText="1"/>
    </xf>
    <xf numFmtId="0" fontId="0" fillId="0" borderId="75" xfId="0" applyBorder="1" applyAlignment="1">
      <alignment horizontal="center" vertical="center" wrapText="1"/>
    </xf>
    <xf numFmtId="42" fontId="9" fillId="0" borderId="80" xfId="4" applyBorder="1" applyAlignment="1">
      <alignment horizontal="center" vertical="center"/>
    </xf>
    <xf numFmtId="0" fontId="41" fillId="0" borderId="83" xfId="0" applyFont="1" applyBorder="1" applyAlignment="1">
      <alignment horizontal="center" vertical="center" wrapText="1"/>
    </xf>
    <xf numFmtId="0" fontId="0" fillId="0" borderId="103" xfId="0" applyBorder="1"/>
    <xf numFmtId="17" fontId="0" fillId="0" borderId="83" xfId="0" applyNumberFormat="1" applyBorder="1" applyAlignment="1">
      <alignment horizontal="center" vertical="center"/>
    </xf>
    <xf numFmtId="9" fontId="12" fillId="0" borderId="59" xfId="0" applyNumberFormat="1" applyFont="1" applyBorder="1" applyAlignment="1">
      <alignment horizontal="center" vertical="center" wrapText="1"/>
    </xf>
    <xf numFmtId="0" fontId="23" fillId="24" borderId="73" xfId="0" applyFont="1" applyFill="1" applyBorder="1" applyAlignment="1">
      <alignment vertical="center" wrapText="1"/>
    </xf>
    <xf numFmtId="0" fontId="12" fillId="0" borderId="78" xfId="0" applyFont="1" applyBorder="1" applyAlignment="1">
      <alignment horizontal="center" vertical="center" wrapText="1"/>
    </xf>
    <xf numFmtId="0" fontId="12" fillId="0" borderId="75" xfId="0" applyFont="1" applyBorder="1" applyAlignment="1">
      <alignment vertical="top" wrapText="1"/>
    </xf>
    <xf numFmtId="0" fontId="34" fillId="0" borderId="42" xfId="0" applyFont="1" applyBorder="1" applyAlignment="1">
      <alignment horizontal="center" vertical="center"/>
    </xf>
    <xf numFmtId="17" fontId="0" fillId="0" borderId="61" xfId="0" applyNumberFormat="1" applyBorder="1" applyAlignment="1">
      <alignment horizontal="center" vertical="center"/>
    </xf>
    <xf numFmtId="0" fontId="12" fillId="0" borderId="0" xfId="0" applyFont="1" applyAlignment="1">
      <alignment horizontal="center" vertical="top" textRotation="255"/>
    </xf>
    <xf numFmtId="0" fontId="23" fillId="24" borderId="75" xfId="0" applyFont="1" applyFill="1" applyBorder="1" applyAlignment="1">
      <alignment vertical="center" wrapText="1"/>
    </xf>
    <xf numFmtId="3" fontId="0" fillId="0" borderId="59" xfId="0" applyNumberFormat="1" applyBorder="1" applyAlignment="1">
      <alignment horizontal="center" vertical="center"/>
    </xf>
    <xf numFmtId="6" fontId="34" fillId="0" borderId="59" xfId="0" applyNumberFormat="1" applyFont="1" applyBorder="1" applyAlignment="1">
      <alignment horizontal="center" vertical="center" wrapText="1"/>
    </xf>
    <xf numFmtId="167" fontId="19" fillId="0" borderId="61" xfId="0" applyNumberFormat="1" applyFont="1" applyBorder="1" applyAlignment="1">
      <alignment horizontal="center" vertical="center"/>
    </xf>
    <xf numFmtId="0" fontId="34" fillId="0" borderId="69" xfId="0" applyFont="1" applyBorder="1" applyAlignment="1">
      <alignment horizontal="center" vertical="center" wrapText="1"/>
    </xf>
    <xf numFmtId="167" fontId="35" fillId="0" borderId="68" xfId="0" applyNumberFormat="1" applyFont="1" applyBorder="1" applyAlignment="1">
      <alignment horizontal="center" vertical="center"/>
    </xf>
    <xf numFmtId="0" fontId="34" fillId="0" borderId="79" xfId="0" applyFont="1" applyBorder="1" applyAlignment="1">
      <alignment horizontal="center" vertical="center" wrapText="1"/>
    </xf>
    <xf numFmtId="167" fontId="37" fillId="0" borderId="61" xfId="0" applyNumberFormat="1" applyFont="1" applyBorder="1" applyAlignment="1">
      <alignment horizontal="center" vertical="center"/>
    </xf>
    <xf numFmtId="6" fontId="34" fillId="0" borderId="69" xfId="0" applyNumberFormat="1" applyFont="1" applyBorder="1" applyAlignment="1">
      <alignment horizontal="center" vertical="center" wrapText="1"/>
    </xf>
    <xf numFmtId="167" fontId="37" fillId="0" borderId="68" xfId="0" applyNumberFormat="1" applyFont="1" applyBorder="1" applyAlignment="1">
      <alignment horizontal="center" vertical="center"/>
    </xf>
    <xf numFmtId="0" fontId="12" fillId="16" borderId="60" xfId="0" applyFont="1" applyFill="1" applyBorder="1" applyAlignment="1">
      <alignment vertical="top" wrapText="1"/>
    </xf>
    <xf numFmtId="3" fontId="0" fillId="0" borderId="69" xfId="0" applyNumberFormat="1" applyBorder="1" applyAlignment="1">
      <alignment horizontal="center" vertical="center"/>
    </xf>
    <xf numFmtId="6" fontId="34" fillId="0" borderId="93" xfId="0" applyNumberFormat="1" applyFont="1" applyBorder="1" applyAlignment="1">
      <alignment horizontal="center" vertical="center" wrapText="1"/>
    </xf>
    <xf numFmtId="6" fontId="34" fillId="0" borderId="77" xfId="0" applyNumberFormat="1" applyFont="1" applyBorder="1" applyAlignment="1">
      <alignment horizontal="center" vertical="center" wrapText="1"/>
    </xf>
    <xf numFmtId="0" fontId="48" fillId="0" borderId="0" xfId="0" applyFont="1"/>
    <xf numFmtId="0" fontId="49" fillId="0" borderId="73" xfId="0" applyFont="1" applyBorder="1" applyAlignment="1">
      <alignment horizontal="left" vertical="center" wrapText="1"/>
    </xf>
    <xf numFmtId="6" fontId="34" fillId="0" borderId="83" xfId="0" applyNumberFormat="1" applyFont="1" applyBorder="1" applyAlignment="1">
      <alignment horizontal="center" vertical="center" wrapText="1"/>
    </xf>
    <xf numFmtId="17" fontId="0" fillId="0" borderId="78" xfId="0" applyNumberFormat="1" applyBorder="1" applyAlignment="1">
      <alignment horizontal="center" vertical="center"/>
    </xf>
    <xf numFmtId="0" fontId="12" fillId="21" borderId="53" xfId="0" applyFont="1" applyFill="1" applyBorder="1" applyAlignment="1">
      <alignment vertical="center" wrapText="1"/>
    </xf>
    <xf numFmtId="6" fontId="34" fillId="0" borderId="80" xfId="0" applyNumberFormat="1" applyFont="1" applyBorder="1" applyAlignment="1">
      <alignment horizontal="center" vertical="center" wrapText="1"/>
    </xf>
    <xf numFmtId="0" fontId="0" fillId="0" borderId="78" xfId="0" applyBorder="1" applyAlignment="1">
      <alignment horizontal="center" vertical="center"/>
    </xf>
    <xf numFmtId="167" fontId="19" fillId="0" borderId="68" xfId="0" applyNumberFormat="1" applyFont="1" applyBorder="1" applyAlignment="1">
      <alignment horizontal="center" vertical="center"/>
    </xf>
    <xf numFmtId="0" fontId="0" fillId="0" borderId="68" xfId="0" applyBorder="1" applyAlignment="1">
      <alignment horizontal="center" vertical="center"/>
    </xf>
    <xf numFmtId="0" fontId="0" fillId="0" borderId="88" xfId="0" applyBorder="1" applyAlignment="1">
      <alignment horizontal="center" vertical="center"/>
    </xf>
    <xf numFmtId="0" fontId="12" fillId="0" borderId="69" xfId="0" applyFont="1" applyBorder="1" applyAlignment="1">
      <alignment horizontal="center" vertical="center" wrapText="1"/>
    </xf>
    <xf numFmtId="0" fontId="12" fillId="22" borderId="67" xfId="0" applyFont="1" applyFill="1" applyBorder="1" applyAlignment="1">
      <alignment horizontal="center" vertical="top" textRotation="255"/>
    </xf>
    <xf numFmtId="0" fontId="12" fillId="22" borderId="73" xfId="0" applyFont="1" applyFill="1" applyBorder="1" applyAlignment="1">
      <alignment horizontal="center" vertical="top" textRotation="255"/>
    </xf>
    <xf numFmtId="0" fontId="12" fillId="22" borderId="75" xfId="0" applyFont="1" applyFill="1" applyBorder="1" applyAlignment="1">
      <alignment horizontal="center" vertical="top" textRotation="255"/>
    </xf>
    <xf numFmtId="0" fontId="12" fillId="0" borderId="86" xfId="0" applyFont="1" applyBorder="1" applyAlignment="1">
      <alignment horizontal="center" vertical="center" wrapText="1"/>
    </xf>
    <xf numFmtId="0" fontId="0" fillId="21" borderId="104" xfId="0" applyFill="1" applyBorder="1" applyAlignment="1">
      <alignment horizontal="center" vertical="center"/>
    </xf>
    <xf numFmtId="42" fontId="9" fillId="21" borderId="104" xfId="4" applyFill="1" applyBorder="1" applyAlignment="1">
      <alignment horizontal="center" vertical="center"/>
    </xf>
    <xf numFmtId="9" fontId="12" fillId="21" borderId="104" xfId="0" applyNumberFormat="1" applyFont="1" applyFill="1" applyBorder="1" applyAlignment="1">
      <alignment horizontal="center" vertical="center"/>
    </xf>
    <xf numFmtId="0" fontId="0" fillId="21" borderId="104" xfId="0" applyFill="1" applyBorder="1"/>
    <xf numFmtId="0" fontId="1" fillId="21" borderId="104" xfId="0" applyFont="1" applyFill="1" applyBorder="1" applyAlignment="1">
      <alignment horizontal="center" vertical="center"/>
    </xf>
    <xf numFmtId="0" fontId="0" fillId="21" borderId="104" xfId="0" applyFill="1" applyBorder="1" applyAlignment="1">
      <alignment horizontal="center" vertical="center" wrapText="1"/>
    </xf>
    <xf numFmtId="17" fontId="0" fillId="21" borderId="104" xfId="0" applyNumberFormat="1" applyFill="1" applyBorder="1" applyAlignment="1">
      <alignment horizontal="center" vertical="center"/>
    </xf>
    <xf numFmtId="167" fontId="12" fillId="21" borderId="86" xfId="0" applyNumberFormat="1" applyFont="1" applyFill="1" applyBorder="1" applyAlignment="1">
      <alignment horizontal="center" vertical="center"/>
    </xf>
    <xf numFmtId="167" fontId="12" fillId="21" borderId="76" xfId="0" applyNumberFormat="1" applyFont="1" applyFill="1" applyBorder="1" applyAlignment="1">
      <alignment horizontal="center" vertical="center"/>
    </xf>
    <xf numFmtId="0" fontId="35" fillId="21" borderId="76" xfId="0" applyFont="1" applyFill="1" applyBorder="1" applyAlignment="1">
      <alignment wrapText="1"/>
    </xf>
    <xf numFmtId="9" fontId="0" fillId="0" borderId="62" xfId="0" applyNumberFormat="1" applyBorder="1" applyAlignment="1">
      <alignment horizontal="center" vertical="center"/>
    </xf>
    <xf numFmtId="0" fontId="0" fillId="0" borderId="95" xfId="0" applyBorder="1"/>
    <xf numFmtId="0" fontId="1" fillId="0" borderId="84" xfId="0" applyFont="1" applyBorder="1" applyAlignment="1">
      <alignment horizontal="center" vertical="center"/>
    </xf>
    <xf numFmtId="0" fontId="1" fillId="0" borderId="53" xfId="0" applyFont="1" applyBorder="1" applyAlignment="1">
      <alignment horizontal="center" vertical="center"/>
    </xf>
    <xf numFmtId="49" fontId="0" fillId="0" borderId="105" xfId="0" applyNumberFormat="1" applyBorder="1" applyAlignment="1">
      <alignment horizontal="center" vertical="center"/>
    </xf>
    <xf numFmtId="0" fontId="0" fillId="0" borderId="105" xfId="0" applyBorder="1" applyAlignment="1">
      <alignment horizontal="center" vertical="center"/>
    </xf>
    <xf numFmtId="9" fontId="0" fillId="0" borderId="42" xfId="0" applyNumberFormat="1" applyBorder="1" applyAlignment="1">
      <alignment horizontal="center" vertical="center"/>
    </xf>
    <xf numFmtId="0" fontId="1" fillId="0" borderId="85" xfId="0" applyFont="1" applyBorder="1" applyAlignment="1">
      <alignment horizontal="center" vertical="center"/>
    </xf>
    <xf numFmtId="0" fontId="1" fillId="0" borderId="74" xfId="0" applyFon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12" fillId="0" borderId="0" xfId="0" applyFont="1" applyAlignment="1">
      <alignment wrapText="1"/>
    </xf>
    <xf numFmtId="0" fontId="0" fillId="0" borderId="42" xfId="0" applyBorder="1" applyAlignment="1">
      <alignment horizontal="center" vertical="center"/>
    </xf>
    <xf numFmtId="0" fontId="12" fillId="19" borderId="74" xfId="0" applyFont="1" applyFill="1" applyBorder="1" applyAlignment="1">
      <alignment vertical="center" wrapText="1"/>
    </xf>
    <xf numFmtId="17" fontId="0" fillId="0" borderId="0" xfId="0" applyNumberFormat="1" applyAlignment="1">
      <alignment horizontal="center" vertical="center"/>
    </xf>
    <xf numFmtId="0" fontId="35" fillId="22" borderId="73" xfId="0" applyFont="1" applyFill="1" applyBorder="1" applyAlignment="1">
      <alignment vertical="center" wrapText="1"/>
    </xf>
    <xf numFmtId="0" fontId="0" fillId="0" borderId="85" xfId="0" applyBorder="1"/>
    <xf numFmtId="0" fontId="35" fillId="0" borderId="74" xfId="0" applyFont="1" applyBorder="1" applyAlignment="1">
      <alignment horizontal="left" vertical="center" wrapText="1"/>
    </xf>
    <xf numFmtId="0" fontId="0" fillId="0" borderId="80" xfId="0" applyBorder="1" applyAlignment="1">
      <alignment horizontal="center" vertical="center"/>
    </xf>
    <xf numFmtId="0" fontId="0" fillId="0" borderId="86" xfId="0" applyBorder="1"/>
    <xf numFmtId="0" fontId="1" fillId="0" borderId="86" xfId="0" applyFont="1" applyBorder="1" applyAlignment="1">
      <alignment horizontal="center" vertical="center"/>
    </xf>
    <xf numFmtId="0" fontId="1" fillId="0" borderId="76" xfId="0" applyFont="1" applyBorder="1" applyAlignment="1">
      <alignment horizontal="center" vertical="center"/>
    </xf>
    <xf numFmtId="49" fontId="0" fillId="0" borderId="104" xfId="0" applyNumberFormat="1" applyBorder="1" applyAlignment="1">
      <alignment horizontal="center" vertical="center"/>
    </xf>
    <xf numFmtId="0" fontId="0" fillId="0" borderId="104" xfId="0" applyBorder="1" applyAlignment="1">
      <alignment horizontal="center" vertical="center"/>
    </xf>
    <xf numFmtId="0" fontId="35" fillId="0" borderId="76" xfId="0" applyFont="1" applyBorder="1" applyAlignment="1">
      <alignment horizontal="left" vertical="center" wrapText="1"/>
    </xf>
    <xf numFmtId="0" fontId="0" fillId="0" borderId="84" xfId="0" applyBorder="1" applyAlignment="1">
      <alignment horizontal="center" vertical="center"/>
    </xf>
    <xf numFmtId="0" fontId="12" fillId="15" borderId="67" xfId="0" applyFont="1" applyFill="1" applyBorder="1" applyAlignment="1">
      <alignment horizontal="left" vertical="center" wrapText="1"/>
    </xf>
    <xf numFmtId="0" fontId="0" fillId="0" borderId="85" xfId="0" applyBorder="1" applyAlignment="1">
      <alignment horizontal="center" vertical="center"/>
    </xf>
    <xf numFmtId="0" fontId="12" fillId="15" borderId="73" xfId="0" applyFont="1" applyFill="1" applyBorder="1" applyAlignment="1">
      <alignment horizontal="left" vertical="center" wrapText="1"/>
    </xf>
    <xf numFmtId="17" fontId="0" fillId="0" borderId="85" xfId="0" applyNumberFormat="1" applyBorder="1" applyAlignment="1">
      <alignment horizontal="center" vertical="center"/>
    </xf>
    <xf numFmtId="0" fontId="35" fillId="0" borderId="73" xfId="0" applyFont="1" applyBorder="1" applyAlignment="1">
      <alignment horizontal="left" vertical="center" wrapText="1"/>
    </xf>
    <xf numFmtId="0" fontId="0" fillId="0" borderId="86" xfId="0" applyBorder="1" applyAlignment="1">
      <alignment horizontal="center" vertical="center"/>
    </xf>
    <xf numFmtId="0" fontId="35" fillId="0" borderId="75" xfId="0" applyFont="1" applyBorder="1" applyAlignment="1">
      <alignment horizontal="left" vertical="center" wrapText="1"/>
    </xf>
    <xf numFmtId="9" fontId="12" fillId="0" borderId="93" xfId="0" applyNumberFormat="1" applyFont="1" applyBorder="1" applyAlignment="1">
      <alignment horizontal="center" vertical="center"/>
    </xf>
    <xf numFmtId="49" fontId="0" fillId="0" borderId="84" xfId="0" applyNumberFormat="1" applyBorder="1" applyAlignment="1">
      <alignment horizontal="center" vertical="center"/>
    </xf>
    <xf numFmtId="17" fontId="0" fillId="0" borderId="53" xfId="0" applyNumberFormat="1" applyBorder="1" applyAlignment="1">
      <alignment horizontal="center" vertical="center"/>
    </xf>
    <xf numFmtId="0" fontId="12" fillId="19" borderId="67" xfId="0" applyFont="1" applyFill="1" applyBorder="1" applyAlignment="1">
      <alignment horizontal="left" vertical="center" wrapText="1"/>
    </xf>
    <xf numFmtId="0" fontId="12" fillId="0" borderId="77" xfId="0" applyFont="1" applyBorder="1" applyAlignment="1">
      <alignment horizontal="center" vertical="center"/>
    </xf>
    <xf numFmtId="49" fontId="0" fillId="0" borderId="85" xfId="0" applyNumberFormat="1" applyBorder="1" applyAlignment="1">
      <alignment horizontal="center" vertical="center"/>
    </xf>
    <xf numFmtId="17" fontId="0" fillId="0" borderId="74" xfId="0" applyNumberFormat="1" applyBorder="1" applyAlignment="1">
      <alignment horizontal="center" vertical="center"/>
    </xf>
    <xf numFmtId="0" fontId="12" fillId="19" borderId="73" xfId="0" applyFont="1" applyFill="1" applyBorder="1" applyAlignment="1">
      <alignment horizontal="left" vertical="center" wrapText="1"/>
    </xf>
    <xf numFmtId="0" fontId="35" fillId="12" borderId="73" xfId="0" applyFont="1" applyFill="1" applyBorder="1" applyAlignment="1">
      <alignment vertical="center" wrapText="1"/>
    </xf>
    <xf numFmtId="0" fontId="12" fillId="0" borderId="83" xfId="0" applyFont="1" applyBorder="1" applyAlignment="1">
      <alignment horizontal="center" vertical="center"/>
    </xf>
    <xf numFmtId="49" fontId="0" fillId="0" borderId="86" xfId="0" applyNumberFormat="1" applyBorder="1" applyAlignment="1">
      <alignment horizontal="center" vertical="center"/>
    </xf>
    <xf numFmtId="17" fontId="0" fillId="0" borderId="76" xfId="0" applyNumberForma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2" fillId="0" borderId="0" xfId="0" applyFont="1" applyAlignment="1">
      <alignment horizontal="center"/>
    </xf>
    <xf numFmtId="0" fontId="51" fillId="25" borderId="50" xfId="6" applyFont="1" applyFill="1" applyBorder="1" applyAlignment="1">
      <alignment horizontal="center" vertical="center" wrapText="1"/>
    </xf>
    <xf numFmtId="0" fontId="51" fillId="25" borderId="51" xfId="6" applyFont="1" applyFill="1" applyBorder="1" applyAlignment="1">
      <alignment horizontal="center" vertical="center" wrapText="1"/>
    </xf>
    <xf numFmtId="0" fontId="51" fillId="25" borderId="52" xfId="6" applyFont="1" applyFill="1" applyBorder="1" applyAlignment="1">
      <alignment horizontal="center" vertical="center" wrapText="1"/>
    </xf>
    <xf numFmtId="0" fontId="10" fillId="25" borderId="51" xfId="6" applyFont="1" applyFill="1" applyBorder="1" applyAlignment="1">
      <alignment horizontal="center" vertical="center" wrapText="1"/>
    </xf>
    <xf numFmtId="0" fontId="10" fillId="25" borderId="52" xfId="6" applyFont="1" applyFill="1" applyBorder="1" applyAlignment="1">
      <alignment horizontal="center" vertical="center" wrapText="1"/>
    </xf>
    <xf numFmtId="0" fontId="10" fillId="25" borderId="50" xfId="6" applyFont="1" applyFill="1" applyBorder="1" applyAlignment="1">
      <alignment horizontal="center" vertical="center" wrapText="1"/>
    </xf>
    <xf numFmtId="0" fontId="52" fillId="26" borderId="105" xfId="0" applyFont="1" applyFill="1" applyBorder="1" applyAlignment="1">
      <alignment horizontal="center" vertical="center"/>
    </xf>
    <xf numFmtId="0" fontId="54" fillId="27" borderId="40" xfId="7" applyFont="1" applyFill="1" applyBorder="1" applyAlignment="1">
      <alignment horizontal="center" vertical="center" wrapText="1"/>
    </xf>
    <xf numFmtId="0" fontId="55" fillId="28" borderId="43" xfId="6" applyFont="1" applyFill="1" applyBorder="1" applyAlignment="1">
      <alignment horizontal="center" vertical="center" wrapText="1"/>
    </xf>
    <xf numFmtId="0" fontId="55" fillId="28" borderId="69" xfId="6" applyFont="1" applyFill="1" applyBorder="1" applyAlignment="1">
      <alignment horizontal="center" vertical="center" wrapText="1"/>
    </xf>
    <xf numFmtId="0" fontId="55" fillId="28" borderId="40" xfId="6" applyFont="1" applyFill="1" applyBorder="1" applyAlignment="1">
      <alignment horizontal="center" vertical="center" wrapText="1"/>
    </xf>
    <xf numFmtId="0" fontId="55" fillId="29" borderId="69" xfId="6" applyFont="1" applyFill="1" applyBorder="1" applyAlignment="1">
      <alignment horizontal="center" vertical="center" wrapText="1"/>
    </xf>
    <xf numFmtId="0" fontId="54" fillId="30" borderId="40" xfId="7" applyFont="1" applyFill="1" applyBorder="1" applyAlignment="1">
      <alignment horizontal="center" vertical="center" wrapText="1"/>
    </xf>
    <xf numFmtId="0" fontId="55" fillId="31" borderId="42" xfId="6" applyFont="1" applyFill="1" applyBorder="1" applyAlignment="1">
      <alignment horizontal="center" vertical="center" wrapText="1"/>
    </xf>
    <xf numFmtId="0" fontId="55" fillId="31" borderId="69" xfId="6" applyFont="1" applyFill="1" applyBorder="1" applyAlignment="1">
      <alignment horizontal="center" vertical="center" wrapText="1"/>
    </xf>
    <xf numFmtId="0" fontId="55" fillId="31" borderId="13" xfId="6" applyFont="1" applyFill="1" applyAlignment="1">
      <alignment horizontal="center" vertical="center" wrapText="1"/>
    </xf>
    <xf numFmtId="0" fontId="55" fillId="32" borderId="43" xfId="6" applyFont="1" applyFill="1" applyBorder="1" applyAlignment="1">
      <alignment horizontal="center" vertical="center" wrapText="1"/>
    </xf>
    <xf numFmtId="0" fontId="57" fillId="33" borderId="70" xfId="7" applyFont="1" applyFill="1" applyBorder="1" applyAlignment="1">
      <alignment horizontal="left" vertical="center"/>
    </xf>
    <xf numFmtId="0" fontId="58" fillId="34" borderId="49" xfId="7" applyFont="1" applyFill="1" applyBorder="1" applyAlignment="1">
      <alignment horizontal="center" vertical="center"/>
    </xf>
    <xf numFmtId="9" fontId="59" fillId="34" borderId="41" xfId="5" applyFont="1" applyFill="1" applyBorder="1" applyAlignment="1">
      <alignment horizontal="center" vertical="center" wrapText="1"/>
    </xf>
    <xf numFmtId="0" fontId="59" fillId="34" borderId="41" xfId="0" applyFont="1" applyFill="1" applyBorder="1" applyAlignment="1">
      <alignment horizontal="center" vertical="center"/>
    </xf>
    <xf numFmtId="0" fontId="58" fillId="34" borderId="41" xfId="0" applyFont="1" applyFill="1" applyBorder="1" applyAlignment="1">
      <alignment horizontal="center" vertical="center"/>
    </xf>
    <xf numFmtId="14" fontId="58" fillId="34" borderId="41" xfId="7" applyNumberFormat="1" applyFont="1" applyFill="1" applyBorder="1" applyAlignment="1">
      <alignment horizontal="center" vertical="center"/>
    </xf>
    <xf numFmtId="0" fontId="58" fillId="34" borderId="41" xfId="7" applyFont="1" applyFill="1" applyBorder="1" applyAlignment="1">
      <alignment horizontal="center" vertical="center"/>
    </xf>
    <xf numFmtId="0" fontId="58" fillId="0" borderId="41" xfId="7" applyFont="1" applyBorder="1" applyAlignment="1">
      <alignment horizontal="center" vertical="center"/>
    </xf>
    <xf numFmtId="9" fontId="60" fillId="35" borderId="41" xfId="5" applyFont="1" applyFill="1" applyBorder="1" applyAlignment="1">
      <alignment horizontal="center" vertical="center" wrapText="1"/>
    </xf>
    <xf numFmtId="0" fontId="58" fillId="36" borderId="41" xfId="7" applyFont="1" applyFill="1" applyBorder="1" applyAlignment="1">
      <alignment horizontal="center" vertical="center" wrapText="1"/>
    </xf>
    <xf numFmtId="0" fontId="58" fillId="36" borderId="41" xfId="7" applyFont="1" applyFill="1" applyBorder="1" applyAlignment="1">
      <alignment horizontal="center" vertical="center"/>
    </xf>
    <xf numFmtId="0" fontId="58" fillId="37" borderId="41" xfId="7" applyFont="1" applyFill="1" applyBorder="1" applyAlignment="1">
      <alignment horizontal="center" vertical="center"/>
    </xf>
    <xf numFmtId="0" fontId="58" fillId="37" borderId="72" xfId="7" applyFont="1" applyFill="1" applyBorder="1" applyAlignment="1">
      <alignment horizontal="center" vertical="center"/>
    </xf>
    <xf numFmtId="0" fontId="57" fillId="33" borderId="40" xfId="7" applyFont="1" applyFill="1" applyBorder="1" applyAlignment="1">
      <alignment horizontal="left" vertical="center" wrapText="1"/>
    </xf>
    <xf numFmtId="0" fontId="57" fillId="33" borderId="40" xfId="7" applyFont="1" applyFill="1" applyBorder="1" applyAlignment="1">
      <alignment horizontal="left" vertical="center"/>
    </xf>
    <xf numFmtId="9" fontId="0" fillId="0" borderId="41" xfId="5" applyFont="1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/>
    </xf>
    <xf numFmtId="14" fontId="0" fillId="0" borderId="41" xfId="0" applyNumberFormat="1" applyBorder="1" applyAlignment="1">
      <alignment horizontal="center" vertical="center"/>
    </xf>
    <xf numFmtId="0" fontId="42" fillId="0" borderId="41" xfId="6" applyFont="1" applyBorder="1" applyAlignment="1">
      <alignment horizontal="center" vertical="center"/>
    </xf>
    <xf numFmtId="9" fontId="25" fillId="34" borderId="41" xfId="5" applyFont="1" applyFill="1" applyBorder="1" applyAlignment="1">
      <alignment horizontal="center" vertical="center" wrapText="1"/>
    </xf>
    <xf numFmtId="0" fontId="58" fillId="0" borderId="40" xfId="7" applyFont="1" applyBorder="1" applyAlignment="1">
      <alignment horizontal="center" vertical="center"/>
    </xf>
    <xf numFmtId="9" fontId="60" fillId="38" borderId="40" xfId="5" applyFont="1" applyFill="1" applyBorder="1" applyAlignment="1">
      <alignment horizontal="center" vertical="center" wrapText="1"/>
    </xf>
    <xf numFmtId="9" fontId="60" fillId="35" borderId="40" xfId="5" applyFont="1" applyFill="1" applyBorder="1" applyAlignment="1">
      <alignment horizontal="center" vertical="center" wrapText="1"/>
    </xf>
    <xf numFmtId="0" fontId="58" fillId="0" borderId="40" xfId="7" applyFont="1" applyBorder="1" applyAlignment="1">
      <alignment horizontal="center" vertical="center" wrapText="1"/>
    </xf>
    <xf numFmtId="9" fontId="0" fillId="0" borderId="40" xfId="5" applyFont="1" applyFill="1" applyBorder="1" applyAlignment="1">
      <alignment horizontal="center" vertical="center" wrapText="1"/>
    </xf>
    <xf numFmtId="0" fontId="0" fillId="0" borderId="40" xfId="0" applyBorder="1" applyAlignment="1">
      <alignment horizontal="center" vertical="center"/>
    </xf>
    <xf numFmtId="14" fontId="0" fillId="0" borderId="40" xfId="0" applyNumberFormat="1" applyBorder="1" applyAlignment="1">
      <alignment horizontal="center" vertical="center"/>
    </xf>
    <xf numFmtId="0" fontId="42" fillId="0" borderId="40" xfId="6" applyFont="1" applyBorder="1" applyAlignment="1">
      <alignment horizontal="center" vertical="center"/>
    </xf>
    <xf numFmtId="0" fontId="58" fillId="34" borderId="36" xfId="7" applyFont="1" applyFill="1" applyBorder="1" applyAlignment="1">
      <alignment horizontal="center" vertical="center"/>
    </xf>
    <xf numFmtId="0" fontId="58" fillId="34" borderId="40" xfId="7" applyFont="1" applyFill="1" applyBorder="1" applyAlignment="1">
      <alignment horizontal="center" vertical="center"/>
    </xf>
    <xf numFmtId="9" fontId="60" fillId="38" borderId="41" xfId="5" applyFont="1" applyFill="1" applyBorder="1" applyAlignment="1">
      <alignment horizontal="center" vertical="center" wrapText="1"/>
    </xf>
    <xf numFmtId="0" fontId="55" fillId="31" borderId="40" xfId="6" applyFont="1" applyFill="1" applyBorder="1" applyAlignment="1">
      <alignment horizontal="center" vertical="center" wrapText="1"/>
    </xf>
    <xf numFmtId="0" fontId="58" fillId="39" borderId="40" xfId="7" applyFont="1" applyFill="1" applyBorder="1" applyAlignment="1">
      <alignment horizontal="left" vertical="center" wrapText="1"/>
    </xf>
    <xf numFmtId="0" fontId="58" fillId="40" borderId="36" xfId="7" applyFont="1" applyFill="1" applyBorder="1" applyAlignment="1">
      <alignment horizontal="center" vertical="center"/>
    </xf>
    <xf numFmtId="9" fontId="25" fillId="0" borderId="40" xfId="5" applyFont="1" applyFill="1" applyBorder="1" applyAlignment="1">
      <alignment horizontal="center" vertical="center" wrapText="1"/>
    </xf>
    <xf numFmtId="0" fontId="55" fillId="32" borderId="40" xfId="6" applyFont="1" applyFill="1" applyBorder="1" applyAlignment="1">
      <alignment horizontal="center" vertical="center" wrapText="1"/>
    </xf>
    <xf numFmtId="0" fontId="0" fillId="41" borderId="40" xfId="0" applyFill="1" applyBorder="1" applyAlignment="1">
      <alignment horizontal="left" vertical="center" wrapText="1"/>
    </xf>
    <xf numFmtId="0" fontId="10" fillId="42" borderId="40" xfId="0" applyFont="1" applyFill="1" applyBorder="1" applyAlignment="1">
      <alignment vertical="center" wrapText="1"/>
    </xf>
    <xf numFmtId="49" fontId="0" fillId="41" borderId="40" xfId="0" applyNumberFormat="1" applyFill="1" applyBorder="1" applyAlignment="1">
      <alignment wrapText="1"/>
    </xf>
    <xf numFmtId="9" fontId="25" fillId="34" borderId="40" xfId="5" applyFont="1" applyFill="1" applyBorder="1" applyAlignment="1">
      <alignment horizontal="center" vertical="center" wrapText="1"/>
    </xf>
    <xf numFmtId="0" fontId="54" fillId="27" borderId="94" xfId="7" applyFont="1" applyFill="1" applyBorder="1" applyAlignment="1">
      <alignment horizontal="center" vertical="center" wrapText="1"/>
    </xf>
    <xf numFmtId="0" fontId="54" fillId="30" borderId="94" xfId="7" applyFont="1" applyFill="1" applyBorder="1" applyAlignment="1">
      <alignment horizontal="center" vertical="center" wrapText="1"/>
    </xf>
    <xf numFmtId="0" fontId="54" fillId="30" borderId="105" xfId="7" applyFont="1" applyFill="1" applyBorder="1" applyAlignment="1">
      <alignment horizontal="center" vertical="center" wrapText="1"/>
    </xf>
    <xf numFmtId="0" fontId="57" fillId="43" borderId="40" xfId="7" applyFont="1" applyFill="1" applyBorder="1" applyAlignment="1">
      <alignment horizontal="left" vertical="center" wrapText="1"/>
    </xf>
    <xf numFmtId="0" fontId="57" fillId="43" borderId="40" xfId="7" applyFont="1" applyFill="1" applyBorder="1" applyAlignment="1">
      <alignment horizontal="left" vertical="center"/>
    </xf>
    <xf numFmtId="0" fontId="58" fillId="34" borderId="40" xfId="7" applyFont="1" applyFill="1" applyBorder="1" applyAlignment="1">
      <alignment horizontal="center" vertical="center" wrapText="1"/>
    </xf>
    <xf numFmtId="9" fontId="59" fillId="34" borderId="66" xfId="5" applyFont="1" applyFill="1" applyBorder="1" applyAlignment="1">
      <alignment horizontal="center" vertical="center" wrapText="1"/>
    </xf>
    <xf numFmtId="0" fontId="42" fillId="0" borderId="40" xfId="6" applyFont="1" applyBorder="1" applyAlignment="1">
      <alignment horizontal="center" vertical="center" wrapText="1"/>
    </xf>
    <xf numFmtId="0" fontId="58" fillId="40" borderId="40" xfId="7" applyFont="1" applyFill="1" applyBorder="1" applyAlignment="1">
      <alignment horizontal="center" vertical="center" wrapText="1"/>
    </xf>
    <xf numFmtId="14" fontId="58" fillId="0" borderId="40" xfId="7" applyNumberFormat="1" applyFont="1" applyBorder="1" applyAlignment="1">
      <alignment horizontal="center" vertical="center" wrapText="1"/>
    </xf>
    <xf numFmtId="9" fontId="0" fillId="0" borderId="40" xfId="0" applyNumberFormat="1" applyBorder="1" applyAlignment="1">
      <alignment horizontal="center" vertical="center" wrapText="1"/>
    </xf>
    <xf numFmtId="9" fontId="59" fillId="34" borderId="40" xfId="5" applyFont="1" applyFill="1" applyBorder="1" applyAlignment="1">
      <alignment horizontal="center" vertical="center" wrapText="1"/>
    </xf>
    <xf numFmtId="0" fontId="42" fillId="15" borderId="40" xfId="6" applyFont="1" applyFill="1" applyBorder="1" applyAlignment="1">
      <alignment horizontal="center" vertical="center"/>
    </xf>
    <xf numFmtId="9" fontId="59" fillId="0" borderId="40" xfId="5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35" fillId="15" borderId="40" xfId="6" applyFont="1" applyFill="1" applyBorder="1" applyAlignment="1">
      <alignment horizontal="left" wrapText="1"/>
    </xf>
    <xf numFmtId="0" fontId="61" fillId="0" borderId="13" xfId="6" applyFont="1"/>
    <xf numFmtId="0" fontId="12" fillId="15" borderId="40" xfId="0" applyFont="1" applyFill="1" applyBorder="1" applyAlignment="1">
      <alignment horizontal="center" wrapText="1"/>
    </xf>
    <xf numFmtId="0" fontId="55" fillId="44" borderId="40" xfId="6" applyFont="1" applyFill="1" applyBorder="1" applyAlignment="1">
      <alignment horizontal="center" vertical="center" wrapText="1"/>
    </xf>
    <xf numFmtId="0" fontId="55" fillId="44" borderId="34" xfId="6" applyFont="1" applyFill="1" applyBorder="1" applyAlignment="1">
      <alignment horizontal="center" vertical="center" wrapText="1"/>
    </xf>
    <xf numFmtId="0" fontId="55" fillId="44" borderId="35" xfId="6" applyFont="1" applyFill="1" applyBorder="1" applyAlignment="1">
      <alignment horizontal="center" vertical="center" wrapText="1"/>
    </xf>
    <xf numFmtId="0" fontId="55" fillId="44" borderId="38" xfId="6" applyFont="1" applyFill="1" applyBorder="1" applyAlignment="1">
      <alignment horizontal="center" vertical="center" wrapText="1"/>
    </xf>
    <xf numFmtId="0" fontId="55" fillId="44" borderId="13" xfId="6" applyFont="1" applyFill="1" applyAlignment="1">
      <alignment horizontal="center" vertical="center" wrapText="1"/>
    </xf>
    <xf numFmtId="0" fontId="57" fillId="45" borderId="84" xfId="7" applyFont="1" applyFill="1" applyBorder="1" applyAlignment="1">
      <alignment horizontal="center" vertical="center"/>
    </xf>
    <xf numFmtId="0" fontId="57" fillId="45" borderId="105" xfId="7" applyFont="1" applyFill="1" applyBorder="1" applyAlignment="1">
      <alignment horizontal="center" vertical="center"/>
    </xf>
    <xf numFmtId="0" fontId="57" fillId="45" borderId="53" xfId="7" applyFont="1" applyFill="1" applyBorder="1" applyAlignment="1">
      <alignment horizontal="center" vertical="center"/>
    </xf>
    <xf numFmtId="0" fontId="42" fillId="0" borderId="40" xfId="6" applyFont="1" applyBorder="1" applyAlignment="1">
      <alignment horizontal="left"/>
    </xf>
    <xf numFmtId="169" fontId="42" fillId="16" borderId="40" xfId="6" applyNumberFormat="1" applyFont="1" applyFill="1" applyBorder="1" applyAlignment="1">
      <alignment horizontal="center" vertical="center"/>
    </xf>
    <xf numFmtId="6" fontId="42" fillId="16" borderId="40" xfId="6" applyNumberFormat="1" applyFont="1" applyFill="1" applyBorder="1" applyAlignment="1">
      <alignment horizontal="center" vertical="center"/>
    </xf>
    <xf numFmtId="0" fontId="58" fillId="46" borderId="86" xfId="7" applyFont="1" applyFill="1" applyBorder="1" applyAlignment="1">
      <alignment horizontal="center"/>
    </xf>
    <xf numFmtId="0" fontId="58" fillId="46" borderId="104" xfId="7" applyFont="1" applyFill="1" applyBorder="1" applyAlignment="1">
      <alignment horizontal="center"/>
    </xf>
    <xf numFmtId="0" fontId="58" fillId="46" borderId="76" xfId="7" applyFont="1" applyFill="1" applyBorder="1" applyAlignment="1">
      <alignment horizontal="center"/>
    </xf>
    <xf numFmtId="0" fontId="62" fillId="0" borderId="84" xfId="7" applyFont="1" applyBorder="1" applyAlignment="1">
      <alignment horizontal="center"/>
    </xf>
    <xf numFmtId="0" fontId="58" fillId="0" borderId="105" xfId="7" applyFont="1" applyBorder="1" applyAlignment="1">
      <alignment horizontal="center"/>
    </xf>
    <xf numFmtId="0" fontId="58" fillId="0" borderId="53" xfId="7" applyFont="1" applyBorder="1" applyAlignment="1">
      <alignment horizontal="center"/>
    </xf>
    <xf numFmtId="0" fontId="58" fillId="0" borderId="85" xfId="7" applyFont="1" applyBorder="1" applyAlignment="1">
      <alignment horizontal="center" wrapText="1"/>
    </xf>
    <xf numFmtId="0" fontId="58" fillId="0" borderId="13" xfId="7" applyFont="1" applyAlignment="1">
      <alignment horizontal="center" wrapText="1"/>
    </xf>
    <xf numFmtId="0" fontId="59" fillId="0" borderId="0" xfId="0" applyFont="1" applyAlignment="1">
      <alignment horizontal="center" vertical="center"/>
    </xf>
    <xf numFmtId="0" fontId="59" fillId="0" borderId="74" xfId="0" applyFont="1" applyBorder="1" applyAlignment="1">
      <alignment horizontal="center" vertical="center"/>
    </xf>
    <xf numFmtId="0" fontId="59" fillId="0" borderId="85" xfId="0" applyFont="1" applyBorder="1" applyAlignment="1">
      <alignment horizontal="center"/>
    </xf>
    <xf numFmtId="0" fontId="59" fillId="0" borderId="0" xfId="0" applyFont="1" applyAlignment="1">
      <alignment horizontal="center"/>
    </xf>
    <xf numFmtId="0" fontId="59" fillId="0" borderId="74" xfId="0" applyFont="1" applyBorder="1" applyAlignment="1">
      <alignment horizontal="center"/>
    </xf>
    <xf numFmtId="0" fontId="59" fillId="0" borderId="86" xfId="0" applyFont="1" applyBorder="1"/>
    <xf numFmtId="0" fontId="63" fillId="0" borderId="104" xfId="0" applyFont="1" applyBorder="1" applyAlignment="1">
      <alignment horizontal="center"/>
    </xf>
    <xf numFmtId="0" fontId="59" fillId="0" borderId="76" xfId="0" applyFont="1" applyBorder="1"/>
    <xf numFmtId="0" fontId="10" fillId="44" borderId="84" xfId="7" applyFont="1" applyFill="1" applyBorder="1" applyAlignment="1">
      <alignment horizontal="center"/>
    </xf>
    <xf numFmtId="0" fontId="10" fillId="44" borderId="105" xfId="7" applyFont="1" applyFill="1" applyBorder="1" applyAlignment="1">
      <alignment horizontal="center"/>
    </xf>
    <xf numFmtId="0" fontId="10" fillId="44" borderId="53" xfId="7" applyFont="1" applyFill="1" applyBorder="1" applyAlignment="1">
      <alignment horizontal="center"/>
    </xf>
    <xf numFmtId="0" fontId="42" fillId="47" borderId="86" xfId="7" applyFont="1" applyFill="1" applyBorder="1" applyAlignment="1">
      <alignment horizontal="center"/>
    </xf>
    <xf numFmtId="0" fontId="42" fillId="47" borderId="104" xfId="7" applyFont="1" applyFill="1" applyBorder="1" applyAlignment="1">
      <alignment horizontal="center"/>
    </xf>
    <xf numFmtId="0" fontId="42" fillId="47" borderId="76" xfId="7" applyFont="1" applyFill="1" applyBorder="1" applyAlignment="1">
      <alignment horizontal="center"/>
    </xf>
    <xf numFmtId="0" fontId="12" fillId="0" borderId="0" xfId="0" applyFont="1"/>
    <xf numFmtId="0" fontId="0" fillId="0" borderId="84" xfId="0" applyBorder="1"/>
    <xf numFmtId="0" fontId="0" fillId="0" borderId="105" xfId="0" applyBorder="1"/>
    <xf numFmtId="0" fontId="0" fillId="0" borderId="53" xfId="0" applyBorder="1"/>
    <xf numFmtId="0" fontId="0" fillId="0" borderId="74" xfId="0" applyBorder="1"/>
    <xf numFmtId="0" fontId="0" fillId="0" borderId="0" xfId="0" applyAlignment="1">
      <alignment horizontal="center"/>
    </xf>
    <xf numFmtId="0" fontId="65" fillId="7" borderId="0" xfId="0" applyFont="1" applyFill="1" applyAlignment="1">
      <alignment horizontal="center" vertical="center"/>
    </xf>
    <xf numFmtId="0" fontId="65" fillId="7" borderId="40" xfId="0" applyFont="1" applyFill="1" applyBorder="1" applyAlignment="1">
      <alignment horizontal="center" vertical="center"/>
    </xf>
    <xf numFmtId="0" fontId="65" fillId="7" borderId="34" xfId="0" applyFont="1" applyFill="1" applyBorder="1" applyAlignment="1">
      <alignment horizontal="center" vertical="center"/>
    </xf>
    <xf numFmtId="0" fontId="65" fillId="7" borderId="40" xfId="0" applyFont="1" applyFill="1" applyBorder="1" applyAlignment="1">
      <alignment horizontal="center" vertical="center" wrapText="1"/>
    </xf>
    <xf numFmtId="0" fontId="66" fillId="0" borderId="0" xfId="0" applyFont="1" applyAlignment="1">
      <alignment horizontal="center" vertical="center" wrapText="1"/>
    </xf>
    <xf numFmtId="42" fontId="65" fillId="36" borderId="40" xfId="4" applyFont="1" applyFill="1" applyBorder="1" applyAlignment="1">
      <alignment horizontal="center" vertical="center" wrapText="1"/>
    </xf>
    <xf numFmtId="42" fontId="65" fillId="48" borderId="40" xfId="8" applyFont="1" applyFill="1" applyBorder="1" applyAlignment="1">
      <alignment horizontal="center" vertical="center" wrapText="1"/>
    </xf>
    <xf numFmtId="0" fontId="66" fillId="0" borderId="13" xfId="9" applyFont="1" applyAlignment="1">
      <alignment horizontal="center" vertical="center" wrapText="1"/>
    </xf>
    <xf numFmtId="42" fontId="65" fillId="49" borderId="40" xfId="8" applyFont="1" applyFill="1" applyBorder="1" applyAlignment="1">
      <alignment horizontal="center" vertical="center" wrapText="1"/>
    </xf>
    <xf numFmtId="0" fontId="67" fillId="50" borderId="37" xfId="0" applyFont="1" applyFill="1" applyBorder="1" applyAlignment="1">
      <alignment horizontal="center" vertical="center"/>
    </xf>
    <xf numFmtId="0" fontId="65" fillId="9" borderId="37" xfId="0" applyFont="1" applyFill="1" applyBorder="1" applyAlignment="1">
      <alignment horizontal="center" vertical="center"/>
    </xf>
    <xf numFmtId="0" fontId="68" fillId="8" borderId="37" xfId="0" applyFont="1" applyFill="1" applyBorder="1" applyAlignment="1">
      <alignment horizontal="center" vertical="center"/>
    </xf>
    <xf numFmtId="0" fontId="60" fillId="0" borderId="38" xfId="0" applyFont="1" applyBorder="1" applyAlignment="1">
      <alignment vertical="center"/>
    </xf>
    <xf numFmtId="0" fontId="60" fillId="0" borderId="37" xfId="0" applyFont="1" applyBorder="1" applyAlignment="1">
      <alignment vertical="center"/>
    </xf>
    <xf numFmtId="170" fontId="60" fillId="0" borderId="39" xfId="0" applyNumberFormat="1" applyFont="1" applyBorder="1" applyAlignment="1">
      <alignment vertical="center"/>
    </xf>
    <xf numFmtId="170" fontId="69" fillId="0" borderId="0" xfId="0" applyNumberFormat="1" applyFont="1" applyAlignment="1">
      <alignment vertical="center"/>
    </xf>
    <xf numFmtId="42" fontId="69" fillId="51" borderId="37" xfId="4" applyFont="1" applyFill="1" applyBorder="1" applyAlignment="1">
      <alignment vertical="center"/>
    </xf>
    <xf numFmtId="42" fontId="60" fillId="51" borderId="38" xfId="8" applyFont="1" applyFill="1" applyBorder="1" applyAlignment="1">
      <alignment vertical="center"/>
    </xf>
    <xf numFmtId="42" fontId="60" fillId="51" borderId="39" xfId="8" applyFont="1" applyFill="1" applyBorder="1" applyAlignment="1">
      <alignment vertical="center"/>
    </xf>
    <xf numFmtId="0" fontId="69" fillId="0" borderId="13" xfId="9" applyFont="1" applyAlignment="1">
      <alignment vertical="center"/>
    </xf>
    <xf numFmtId="42" fontId="60" fillId="52" borderId="13" xfId="8" applyFont="1" applyFill="1" applyBorder="1" applyAlignment="1">
      <alignment vertical="center"/>
    </xf>
    <xf numFmtId="0" fontId="67" fillId="50" borderId="42" xfId="0" applyFont="1" applyFill="1" applyBorder="1" applyAlignment="1">
      <alignment horizontal="center" vertical="center"/>
    </xf>
    <xf numFmtId="0" fontId="65" fillId="9" borderId="42" xfId="0" applyFont="1" applyFill="1" applyBorder="1" applyAlignment="1">
      <alignment horizontal="center" vertical="center"/>
    </xf>
    <xf numFmtId="0" fontId="68" fillId="8" borderId="42" xfId="0" applyFont="1" applyFill="1" applyBorder="1" applyAlignment="1">
      <alignment horizontal="center" vertical="center"/>
    </xf>
    <xf numFmtId="0" fontId="60" fillId="0" borderId="0" xfId="0" applyFont="1" applyAlignment="1">
      <alignment vertical="center"/>
    </xf>
    <xf numFmtId="0" fontId="60" fillId="0" borderId="42" xfId="0" applyFont="1" applyBorder="1" applyAlignment="1">
      <alignment vertical="center"/>
    </xf>
    <xf numFmtId="170" fontId="60" fillId="0" borderId="43" xfId="0" applyNumberFormat="1" applyFont="1" applyBorder="1" applyAlignment="1">
      <alignment vertical="center"/>
    </xf>
    <xf numFmtId="42" fontId="69" fillId="51" borderId="42" xfId="4" applyFont="1" applyFill="1" applyBorder="1" applyAlignment="1">
      <alignment vertical="center"/>
    </xf>
    <xf numFmtId="42" fontId="60" fillId="51" borderId="13" xfId="8" applyFont="1" applyFill="1" applyBorder="1" applyAlignment="1">
      <alignment vertical="center"/>
    </xf>
    <xf numFmtId="42" fontId="60" fillId="51" borderId="43" xfId="8" applyFont="1" applyFill="1" applyBorder="1" applyAlignment="1">
      <alignment vertical="center"/>
    </xf>
    <xf numFmtId="42" fontId="60" fillId="51" borderId="42" xfId="4" applyFont="1" applyFill="1" applyBorder="1" applyAlignment="1">
      <alignment vertical="center"/>
    </xf>
    <xf numFmtId="0" fontId="68" fillId="8" borderId="47" xfId="0" applyFont="1" applyFill="1" applyBorder="1" applyAlignment="1">
      <alignment horizontal="center" vertical="center"/>
    </xf>
    <xf numFmtId="0" fontId="60" fillId="0" borderId="48" xfId="0" applyFont="1" applyBorder="1" applyAlignment="1">
      <alignment vertical="center"/>
    </xf>
    <xf numFmtId="0" fontId="60" fillId="0" borderId="47" xfId="0" applyFont="1" applyBorder="1" applyAlignment="1">
      <alignment vertical="center"/>
    </xf>
    <xf numFmtId="170" fontId="60" fillId="0" borderId="49" xfId="0" applyNumberFormat="1" applyFont="1" applyBorder="1" applyAlignment="1">
      <alignment vertical="center"/>
    </xf>
    <xf numFmtId="42" fontId="60" fillId="51" borderId="47" xfId="4" applyFont="1" applyFill="1" applyBorder="1" applyAlignment="1">
      <alignment vertical="center"/>
    </xf>
    <xf numFmtId="42" fontId="60" fillId="51" borderId="48" xfId="8" applyFont="1" applyFill="1" applyBorder="1" applyAlignment="1">
      <alignment vertical="center"/>
    </xf>
    <xf numFmtId="42" fontId="60" fillId="51" borderId="49" xfId="8" applyFont="1" applyFill="1" applyBorder="1" applyAlignment="1">
      <alignment vertical="center"/>
    </xf>
    <xf numFmtId="42" fontId="60" fillId="51" borderId="37" xfId="4" applyFont="1" applyFill="1" applyBorder="1" applyAlignment="1">
      <alignment vertical="center"/>
    </xf>
    <xf numFmtId="0" fontId="65" fillId="9" borderId="47" xfId="0" applyFont="1" applyFill="1" applyBorder="1" applyAlignment="1">
      <alignment horizontal="center" vertical="center"/>
    </xf>
    <xf numFmtId="0" fontId="67" fillId="50" borderId="47" xfId="0" applyFont="1" applyFill="1" applyBorder="1" applyAlignment="1">
      <alignment horizontal="center" vertical="center"/>
    </xf>
    <xf numFmtId="42" fontId="69" fillId="51" borderId="47" xfId="4" applyFont="1" applyFill="1" applyBorder="1" applyAlignment="1">
      <alignment vertical="center"/>
    </xf>
    <xf numFmtId="42" fontId="69" fillId="52" borderId="37" xfId="10" applyFont="1" applyFill="1" applyBorder="1" applyAlignment="1">
      <alignment vertical="center"/>
    </xf>
    <xf numFmtId="42" fontId="69" fillId="52" borderId="38" xfId="10" applyFont="1" applyFill="1" applyBorder="1" applyAlignment="1">
      <alignment vertical="center"/>
    </xf>
    <xf numFmtId="42" fontId="69" fillId="52" borderId="39" xfId="10" applyFont="1" applyFill="1" applyBorder="1" applyAlignment="1">
      <alignment vertical="center"/>
    </xf>
    <xf numFmtId="42" fontId="69" fillId="52" borderId="42" xfId="10" applyFont="1" applyFill="1" applyBorder="1" applyAlignment="1">
      <alignment vertical="center"/>
    </xf>
    <xf numFmtId="42" fontId="69" fillId="52" borderId="13" xfId="10" applyFont="1" applyFill="1" applyBorder="1" applyAlignment="1">
      <alignment vertical="center"/>
    </xf>
    <xf numFmtId="42" fontId="69" fillId="52" borderId="43" xfId="10" applyFont="1" applyFill="1" applyBorder="1" applyAlignment="1">
      <alignment vertical="center"/>
    </xf>
    <xf numFmtId="42" fontId="69" fillId="52" borderId="47" xfId="10" applyFont="1" applyFill="1" applyBorder="1" applyAlignment="1">
      <alignment vertical="center"/>
    </xf>
    <xf numFmtId="42" fontId="69" fillId="52" borderId="48" xfId="10" applyFont="1" applyFill="1" applyBorder="1" applyAlignment="1">
      <alignment vertical="center"/>
    </xf>
    <xf numFmtId="42" fontId="69" fillId="52" borderId="49" xfId="10" applyFont="1" applyFill="1" applyBorder="1" applyAlignment="1">
      <alignment vertical="center"/>
    </xf>
    <xf numFmtId="0" fontId="1" fillId="41" borderId="0" xfId="0" applyFont="1" applyFill="1" applyAlignment="1">
      <alignment horizontal="center" vertical="center" wrapText="1"/>
    </xf>
    <xf numFmtId="0" fontId="0" fillId="41" borderId="0" xfId="0" applyFill="1" applyAlignment="1">
      <alignment horizontal="center" vertical="center" wrapText="1"/>
    </xf>
    <xf numFmtId="42" fontId="69" fillId="52" borderId="37" xfId="4" applyFont="1" applyFill="1" applyBorder="1" applyAlignment="1">
      <alignment vertical="center"/>
    </xf>
    <xf numFmtId="42" fontId="69" fillId="52" borderId="47" xfId="4" applyFont="1" applyFill="1" applyBorder="1" applyAlignment="1">
      <alignment vertical="center"/>
    </xf>
    <xf numFmtId="42" fontId="69" fillId="52" borderId="42" xfId="4" applyFont="1" applyFill="1" applyBorder="1" applyAlignment="1">
      <alignment vertical="center"/>
    </xf>
    <xf numFmtId="0" fontId="65" fillId="9" borderId="37" xfId="0" applyFont="1" applyFill="1" applyBorder="1" applyAlignment="1">
      <alignment horizontal="center" vertical="center" wrapText="1"/>
    </xf>
    <xf numFmtId="0" fontId="60" fillId="34" borderId="38" xfId="0" applyFont="1" applyFill="1" applyBorder="1" applyAlignment="1">
      <alignment vertical="center"/>
    </xf>
    <xf numFmtId="42" fontId="69" fillId="52" borderId="38" xfId="4" applyFont="1" applyFill="1" applyBorder="1" applyAlignment="1">
      <alignment vertical="center"/>
    </xf>
    <xf numFmtId="42" fontId="69" fillId="52" borderId="39" xfId="4" applyFont="1" applyFill="1" applyBorder="1" applyAlignment="1">
      <alignment vertical="center"/>
    </xf>
    <xf numFmtId="0" fontId="65" fillId="9" borderId="42" xfId="0" applyFont="1" applyFill="1" applyBorder="1" applyAlignment="1">
      <alignment horizontal="center" vertical="center" wrapText="1"/>
    </xf>
    <xf numFmtId="0" fontId="60" fillId="34" borderId="0" xfId="0" applyFont="1" applyFill="1" applyAlignment="1">
      <alignment vertical="center"/>
    </xf>
    <xf numFmtId="42" fontId="69" fillId="52" borderId="13" xfId="4" applyFont="1" applyFill="1" applyBorder="1" applyAlignment="1">
      <alignment vertical="center"/>
    </xf>
    <xf numFmtId="42" fontId="69" fillId="52" borderId="43" xfId="4" applyFont="1" applyFill="1" applyBorder="1" applyAlignment="1">
      <alignment vertical="center"/>
    </xf>
    <xf numFmtId="0" fontId="60" fillId="34" borderId="48" xfId="0" applyFont="1" applyFill="1" applyBorder="1" applyAlignment="1">
      <alignment vertical="center"/>
    </xf>
    <xf numFmtId="42" fontId="69" fillId="52" borderId="48" xfId="4" applyFont="1" applyFill="1" applyBorder="1" applyAlignment="1">
      <alignment vertical="center"/>
    </xf>
    <xf numFmtId="42" fontId="69" fillId="52" borderId="49" xfId="4" applyFont="1" applyFill="1" applyBorder="1" applyAlignment="1">
      <alignment vertical="center"/>
    </xf>
    <xf numFmtId="0" fontId="60" fillId="0" borderId="42" xfId="0" applyFont="1" applyBorder="1" applyAlignment="1">
      <alignment horizontal="center" vertical="center" wrapText="1"/>
    </xf>
    <xf numFmtId="0" fontId="68" fillId="8" borderId="37" xfId="0" applyFont="1" applyFill="1" applyBorder="1" applyAlignment="1">
      <alignment horizontal="center" vertical="center" wrapText="1"/>
    </xf>
    <xf numFmtId="0" fontId="68" fillId="8" borderId="42" xfId="0" applyFont="1" applyFill="1" applyBorder="1" applyAlignment="1">
      <alignment horizontal="center" vertical="center" wrapText="1"/>
    </xf>
    <xf numFmtId="0" fontId="60" fillId="0" borderId="47" xfId="0" applyFont="1" applyBorder="1" applyAlignment="1">
      <alignment horizontal="center" vertical="center" wrapText="1"/>
    </xf>
    <xf numFmtId="0" fontId="68" fillId="8" borderId="47" xfId="0" applyFont="1" applyFill="1" applyBorder="1" applyAlignment="1">
      <alignment horizontal="center" vertical="center" wrapText="1"/>
    </xf>
    <xf numFmtId="0" fontId="66" fillId="8" borderId="37" xfId="0" applyFont="1" applyFill="1" applyBorder="1" applyAlignment="1">
      <alignment horizontal="center" vertical="center"/>
    </xf>
    <xf numFmtId="0" fontId="66" fillId="8" borderId="42" xfId="0" applyFont="1" applyFill="1" applyBorder="1" applyAlignment="1">
      <alignment horizontal="center" vertical="center"/>
    </xf>
    <xf numFmtId="0" fontId="66" fillId="8" borderId="47" xfId="0" applyFont="1" applyFill="1" applyBorder="1" applyAlignment="1">
      <alignment horizontal="center" vertical="center"/>
    </xf>
    <xf numFmtId="0" fontId="69" fillId="0" borderId="38" xfId="0" applyFont="1" applyBorder="1" applyAlignment="1">
      <alignment vertical="center"/>
    </xf>
    <xf numFmtId="0" fontId="69" fillId="0" borderId="42" xfId="0" applyFont="1" applyBorder="1" applyAlignment="1">
      <alignment vertical="center"/>
    </xf>
    <xf numFmtId="0" fontId="69" fillId="0" borderId="47" xfId="0" applyFont="1" applyBorder="1" applyAlignment="1">
      <alignment vertical="center"/>
    </xf>
    <xf numFmtId="0" fontId="60" fillId="0" borderId="42" xfId="0" applyFont="1" applyBorder="1" applyAlignment="1">
      <alignment vertical="center" wrapText="1"/>
    </xf>
    <xf numFmtId="0" fontId="60" fillId="0" borderId="47" xfId="0" applyFont="1" applyBorder="1" applyAlignment="1">
      <alignment vertical="center" wrapText="1"/>
    </xf>
    <xf numFmtId="0" fontId="69" fillId="0" borderId="48" xfId="9" applyFont="1" applyBorder="1" applyAlignment="1">
      <alignment vertical="center"/>
    </xf>
    <xf numFmtId="0" fontId="75" fillId="0" borderId="0" xfId="0" applyFont="1"/>
    <xf numFmtId="0" fontId="75" fillId="0" borderId="0" xfId="0" applyFont="1" applyAlignment="1">
      <alignment horizontal="center" vertical="center" wrapText="1"/>
    </xf>
    <xf numFmtId="0" fontId="75" fillId="0" borderId="0" xfId="0" applyFont="1"/>
    <xf numFmtId="0" fontId="75" fillId="0" borderId="0" xfId="0" applyFont="1" applyAlignment="1">
      <alignment horizontal="center" vertical="center"/>
    </xf>
    <xf numFmtId="0" fontId="76" fillId="10" borderId="24" xfId="0" applyFont="1" applyFill="1" applyBorder="1" applyAlignment="1">
      <alignment horizontal="center" vertical="center"/>
    </xf>
    <xf numFmtId="0" fontId="78" fillId="0" borderId="30" xfId="0" applyFont="1" applyBorder="1"/>
    <xf numFmtId="0" fontId="78" fillId="0" borderId="29" xfId="0" applyFont="1" applyBorder="1"/>
    <xf numFmtId="0" fontId="78" fillId="0" borderId="31" xfId="0" applyFont="1" applyBorder="1"/>
    <xf numFmtId="0" fontId="76" fillId="11" borderId="16" xfId="0" applyFont="1" applyFill="1" applyBorder="1" applyAlignment="1">
      <alignment horizontal="center" vertical="center" wrapText="1"/>
    </xf>
    <xf numFmtId="0" fontId="76" fillId="11" borderId="15" xfId="0" applyFont="1" applyFill="1" applyBorder="1" applyAlignment="1">
      <alignment horizontal="center" vertical="center" wrapText="1"/>
    </xf>
    <xf numFmtId="0" fontId="76" fillId="11" borderId="26" xfId="0" applyFont="1" applyFill="1" applyBorder="1" applyAlignment="1">
      <alignment horizontal="center" vertical="center" wrapText="1"/>
    </xf>
    <xf numFmtId="0" fontId="75" fillId="0" borderId="17" xfId="0" applyFont="1" applyBorder="1" applyAlignment="1">
      <alignment horizontal="center" vertical="center" wrapText="1"/>
    </xf>
    <xf numFmtId="0" fontId="75" fillId="0" borderId="32" xfId="0" applyFont="1" applyBorder="1" applyAlignment="1">
      <alignment horizontal="center" vertical="center" wrapText="1"/>
    </xf>
    <xf numFmtId="169" fontId="75" fillId="0" borderId="32" xfId="0" applyNumberFormat="1" applyFont="1" applyBorder="1" applyAlignment="1">
      <alignment horizontal="center" vertical="center" wrapText="1"/>
    </xf>
    <xf numFmtId="9" fontId="75" fillId="0" borderId="32" xfId="0" applyNumberFormat="1" applyFont="1" applyBorder="1" applyAlignment="1">
      <alignment horizontal="center" vertical="center" wrapText="1"/>
    </xf>
    <xf numFmtId="175" fontId="75" fillId="0" borderId="32" xfId="0" applyNumberFormat="1" applyFont="1" applyBorder="1" applyAlignment="1">
      <alignment horizontal="center" vertical="center" wrapText="1"/>
    </xf>
    <xf numFmtId="0" fontId="75" fillId="0" borderId="20" xfId="0" applyFont="1" applyBorder="1" applyAlignment="1">
      <alignment horizontal="center" vertical="center" wrapText="1"/>
    </xf>
    <xf numFmtId="0" fontId="79" fillId="0" borderId="0" xfId="0" applyFont="1" applyAlignment="1">
      <alignment horizontal="center" wrapText="1"/>
    </xf>
    <xf numFmtId="0" fontId="80" fillId="4" borderId="28" xfId="0" applyFont="1" applyFill="1" applyBorder="1" applyAlignment="1">
      <alignment horizontal="center" vertical="center" wrapText="1"/>
    </xf>
    <xf numFmtId="0" fontId="80" fillId="4" borderId="33" xfId="0" applyFont="1" applyFill="1" applyBorder="1" applyAlignment="1">
      <alignment horizontal="center" vertical="center" wrapText="1"/>
    </xf>
    <xf numFmtId="0" fontId="80" fillId="4" borderId="33" xfId="0" applyFont="1" applyFill="1" applyBorder="1" applyAlignment="1">
      <alignment horizontal="center" vertical="center"/>
    </xf>
    <xf numFmtId="6" fontId="80" fillId="4" borderId="33" xfId="0" applyNumberFormat="1" applyFont="1" applyFill="1" applyBorder="1" applyAlignment="1">
      <alignment horizontal="center" vertical="center" wrapText="1"/>
    </xf>
    <xf numFmtId="9" fontId="80" fillId="4" borderId="33" xfId="0" applyNumberFormat="1" applyFont="1" applyFill="1" applyBorder="1" applyAlignment="1">
      <alignment horizontal="center" vertical="center" wrapText="1"/>
    </xf>
    <xf numFmtId="0" fontId="80" fillId="0" borderId="33" xfId="0" applyFont="1" applyBorder="1" applyAlignment="1">
      <alignment horizontal="center" vertical="center" wrapText="1"/>
    </xf>
    <xf numFmtId="175" fontId="80" fillId="0" borderId="33" xfId="0" applyNumberFormat="1" applyFont="1" applyBorder="1" applyAlignment="1">
      <alignment horizontal="center" vertical="center" wrapText="1"/>
    </xf>
    <xf numFmtId="0" fontId="75" fillId="4" borderId="33" xfId="0" applyFont="1" applyFill="1" applyBorder="1" applyAlignment="1">
      <alignment horizontal="center" vertical="center" wrapText="1"/>
    </xf>
    <xf numFmtId="9" fontId="75" fillId="0" borderId="27" xfId="0" applyNumberFormat="1" applyFont="1" applyBorder="1" applyAlignment="1">
      <alignment horizontal="center" vertical="center" wrapText="1"/>
    </xf>
    <xf numFmtId="0" fontId="76" fillId="2" borderId="25" xfId="0" applyFont="1" applyFill="1" applyBorder="1" applyAlignment="1">
      <alignment horizontal="center" vertical="center" wrapText="1"/>
    </xf>
    <xf numFmtId="0" fontId="78" fillId="0" borderId="13" xfId="0" applyFont="1" applyBorder="1"/>
    <xf numFmtId="0" fontId="78" fillId="0" borderId="17" xfId="0" applyFont="1" applyBorder="1"/>
    <xf numFmtId="0" fontId="78" fillId="0" borderId="32" xfId="0" applyFont="1" applyBorder="1"/>
    <xf numFmtId="0" fontId="78" fillId="0" borderId="20" xfId="0" applyFont="1" applyBorder="1"/>
    <xf numFmtId="0" fontId="78" fillId="0" borderId="25" xfId="0" applyFont="1" applyBorder="1"/>
    <xf numFmtId="0" fontId="75" fillId="0" borderId="33" xfId="0" applyFont="1" applyBorder="1" applyAlignment="1">
      <alignment horizontal="center" vertical="center" wrapText="1"/>
    </xf>
    <xf numFmtId="0" fontId="80" fillId="0" borderId="0" xfId="0" applyFont="1"/>
    <xf numFmtId="0" fontId="78" fillId="0" borderId="18" xfId="0" applyFont="1" applyBorder="1"/>
    <xf numFmtId="0" fontId="78" fillId="0" borderId="14" xfId="0" applyFont="1" applyBorder="1"/>
    <xf numFmtId="0" fontId="78" fillId="0" borderId="19" xfId="0" applyFont="1" applyBorder="1"/>
    <xf numFmtId="0" fontId="80" fillId="4" borderId="28" xfId="0" applyFont="1" applyFill="1" applyBorder="1" applyAlignment="1">
      <alignment horizontal="center" vertical="center" wrapText="1"/>
    </xf>
    <xf numFmtId="0" fontId="80" fillId="4" borderId="33" xfId="0" applyFont="1" applyFill="1" applyBorder="1" applyAlignment="1">
      <alignment horizontal="center" vertical="center" wrapText="1"/>
    </xf>
    <xf numFmtId="9" fontId="80" fillId="4" borderId="33" xfId="0" applyNumberFormat="1" applyFont="1" applyFill="1" applyBorder="1" applyAlignment="1">
      <alignment horizontal="center" vertical="center" wrapText="1"/>
    </xf>
    <xf numFmtId="0" fontId="80" fillId="0" borderId="33" xfId="0" applyFont="1" applyBorder="1" applyAlignment="1">
      <alignment horizontal="center" vertical="center" wrapText="1"/>
    </xf>
    <xf numFmtId="0" fontId="75" fillId="4" borderId="33" xfId="0" applyFont="1" applyFill="1" applyBorder="1" applyAlignment="1">
      <alignment horizontal="center" vertical="center" wrapText="1"/>
    </xf>
    <xf numFmtId="9" fontId="75" fillId="0" borderId="27" xfId="0" applyNumberFormat="1" applyFont="1" applyBorder="1" applyAlignment="1">
      <alignment horizontal="center" vertical="center" wrapText="1"/>
    </xf>
    <xf numFmtId="0" fontId="76" fillId="6" borderId="13" xfId="0" applyFont="1" applyFill="1" applyBorder="1" applyAlignment="1">
      <alignment horizontal="center" vertical="center" wrapText="1"/>
    </xf>
    <xf numFmtId="0" fontId="78" fillId="0" borderId="21" xfId="0" applyFont="1" applyBorder="1"/>
    <xf numFmtId="0" fontId="78" fillId="0" borderId="22" xfId="0" applyFont="1" applyBorder="1"/>
    <xf numFmtId="0" fontId="78" fillId="0" borderId="23" xfId="0" applyFont="1" applyBorder="1"/>
    <xf numFmtId="0" fontId="77" fillId="2" borderId="30" xfId="0" applyFont="1" applyFill="1" applyBorder="1" applyAlignment="1">
      <alignment horizontal="center" wrapText="1"/>
    </xf>
    <xf numFmtId="0" fontId="77" fillId="0" borderId="0" xfId="0" applyFont="1"/>
    <xf numFmtId="0" fontId="81" fillId="32" borderId="106" xfId="11" applyFont="1" applyFill="1" applyBorder="1" applyAlignment="1">
      <alignment horizontal="center" vertical="center" wrapText="1"/>
    </xf>
    <xf numFmtId="0" fontId="65" fillId="53" borderId="67" xfId="11" applyFont="1" applyFill="1" applyBorder="1" applyAlignment="1">
      <alignment horizontal="center" vertical="center" wrapText="1"/>
    </xf>
    <xf numFmtId="0" fontId="65" fillId="53" borderId="112" xfId="11" applyFont="1" applyFill="1" applyBorder="1" applyAlignment="1">
      <alignment horizontal="center" vertical="center" wrapText="1"/>
    </xf>
    <xf numFmtId="0" fontId="65" fillId="53" borderId="113" xfId="11" applyFont="1" applyFill="1" applyBorder="1" applyAlignment="1">
      <alignment horizontal="center" vertical="center" wrapText="1"/>
    </xf>
    <xf numFmtId="0" fontId="83" fillId="34" borderId="13" xfId="11" applyFont="1" applyFill="1" applyAlignment="1">
      <alignment vertical="center"/>
    </xf>
    <xf numFmtId="0" fontId="84" fillId="0" borderId="0" xfId="0" applyFont="1"/>
    <xf numFmtId="0" fontId="60" fillId="52" borderId="63" xfId="11" applyFont="1" applyFill="1" applyBorder="1" applyAlignment="1">
      <alignment vertical="center"/>
    </xf>
    <xf numFmtId="0" fontId="60" fillId="52" borderId="35" xfId="11" applyFont="1" applyFill="1" applyBorder="1" applyAlignment="1">
      <alignment vertical="center"/>
    </xf>
    <xf numFmtId="0" fontId="60" fillId="52" borderId="91" xfId="11" applyFont="1" applyFill="1" applyBorder="1" applyAlignment="1">
      <alignment vertical="center"/>
    </xf>
    <xf numFmtId="17" fontId="60" fillId="52" borderId="107" xfId="11" applyNumberFormat="1" applyFont="1" applyFill="1" applyBorder="1" applyAlignment="1">
      <alignment horizontal="right" vertical="center"/>
    </xf>
    <xf numFmtId="42" fontId="60" fillId="52" borderId="91" xfId="12" applyFont="1" applyFill="1" applyBorder="1" applyAlignment="1" applyProtection="1">
      <alignment vertical="center"/>
      <protection locked="0"/>
    </xf>
    <xf numFmtId="167" fontId="60" fillId="52" borderId="40" xfId="13" applyNumberFormat="1" applyFont="1" applyFill="1" applyBorder="1" applyAlignment="1">
      <alignment horizontal="right" vertical="center"/>
    </xf>
    <xf numFmtId="0" fontId="60" fillId="52" borderId="88" xfId="11" applyFont="1" applyFill="1" applyBorder="1" applyAlignment="1" applyProtection="1">
      <alignment vertical="center"/>
      <protection locked="0"/>
    </xf>
    <xf numFmtId="167" fontId="60" fillId="52" borderId="89" xfId="13" applyNumberFormat="1" applyFont="1" applyFill="1" applyBorder="1" applyAlignment="1">
      <alignment horizontal="right" vertical="center"/>
    </xf>
    <xf numFmtId="0" fontId="60" fillId="52" borderId="97" xfId="13" applyNumberFormat="1" applyFont="1" applyFill="1" applyBorder="1" applyAlignment="1">
      <alignment horizontal="center" vertical="center"/>
    </xf>
    <xf numFmtId="0" fontId="60" fillId="52" borderId="70" xfId="13" applyNumberFormat="1" applyFont="1" applyFill="1" applyBorder="1" applyAlignment="1">
      <alignment horizontal="center" wrapText="1"/>
    </xf>
    <xf numFmtId="167" fontId="60" fillId="52" borderId="91" xfId="13" applyNumberFormat="1" applyFont="1" applyFill="1" applyBorder="1" applyAlignment="1">
      <alignment horizontal="right" vertical="center"/>
    </xf>
    <xf numFmtId="0" fontId="60" fillId="52" borderId="91" xfId="13" applyNumberFormat="1" applyFont="1" applyFill="1" applyBorder="1" applyAlignment="1">
      <alignment horizontal="center" wrapText="1"/>
    </xf>
    <xf numFmtId="0" fontId="60" fillId="52" borderId="38" xfId="11" applyFont="1" applyFill="1" applyBorder="1" applyAlignment="1">
      <alignment vertical="center"/>
    </xf>
    <xf numFmtId="0" fontId="60" fillId="52" borderId="90" xfId="11" applyFont="1" applyFill="1" applyBorder="1" applyAlignment="1">
      <alignment vertical="center"/>
    </xf>
    <xf numFmtId="167" fontId="60" fillId="52" borderId="94" xfId="13" applyNumberFormat="1" applyFont="1" applyFill="1" applyBorder="1" applyAlignment="1">
      <alignment horizontal="right" vertical="center"/>
    </xf>
    <xf numFmtId="0" fontId="60" fillId="52" borderId="102" xfId="11" applyFont="1" applyFill="1" applyBorder="1" applyAlignment="1" applyProtection="1">
      <alignment vertical="center"/>
      <protection locked="0"/>
    </xf>
    <xf numFmtId="167" fontId="60" fillId="52" borderId="101" xfId="13" applyNumberFormat="1" applyFont="1" applyFill="1" applyBorder="1" applyAlignment="1">
      <alignment horizontal="right" vertical="center"/>
    </xf>
    <xf numFmtId="0" fontId="60" fillId="52" borderId="91" xfId="13" applyNumberFormat="1" applyFont="1" applyFill="1" applyBorder="1" applyAlignment="1">
      <alignment horizontal="center" vertical="center" wrapText="1"/>
    </xf>
    <xf numFmtId="17" fontId="60" fillId="52" borderId="108" xfId="11" applyNumberFormat="1" applyFont="1" applyFill="1" applyBorder="1" applyAlignment="1">
      <alignment horizontal="right" vertical="center"/>
    </xf>
    <xf numFmtId="42" fontId="60" fillId="52" borderId="90" xfId="12" applyFont="1" applyFill="1" applyBorder="1" applyAlignment="1" applyProtection="1">
      <alignment vertical="center"/>
      <protection locked="0"/>
    </xf>
    <xf numFmtId="0" fontId="60" fillId="52" borderId="109" xfId="13" applyNumberFormat="1" applyFont="1" applyFill="1" applyBorder="1" applyAlignment="1">
      <alignment horizontal="center" vertical="center"/>
    </xf>
    <xf numFmtId="0" fontId="60" fillId="52" borderId="90" xfId="13" applyNumberFormat="1" applyFont="1" applyFill="1" applyBorder="1" applyAlignment="1">
      <alignment horizontal="center" vertical="center" wrapText="1"/>
    </xf>
    <xf numFmtId="167" fontId="60" fillId="52" borderId="90" xfId="13" applyNumberFormat="1" applyFont="1" applyFill="1" applyBorder="1" applyAlignment="1">
      <alignment horizontal="right" vertical="center"/>
    </xf>
    <xf numFmtId="0" fontId="60" fillId="54" borderId="90" xfId="11" applyFont="1" applyFill="1" applyBorder="1" applyAlignment="1">
      <alignment vertical="center"/>
    </xf>
    <xf numFmtId="0" fontId="60" fillId="54" borderId="38" xfId="11" applyFont="1" applyFill="1" applyBorder="1" applyAlignment="1">
      <alignment vertical="center"/>
    </xf>
    <xf numFmtId="17" fontId="60" fillId="54" borderId="108" xfId="11" applyNumberFormat="1" applyFont="1" applyFill="1" applyBorder="1" applyAlignment="1">
      <alignment horizontal="right" vertical="center"/>
    </xf>
    <xf numFmtId="42" fontId="60" fillId="54" borderId="90" xfId="12" applyFont="1" applyFill="1" applyBorder="1" applyAlignment="1" applyProtection="1">
      <alignment vertical="center"/>
      <protection locked="0"/>
    </xf>
    <xf numFmtId="167" fontId="60" fillId="54" borderId="94" xfId="13" applyNumberFormat="1" applyFont="1" applyFill="1" applyBorder="1" applyAlignment="1">
      <alignment horizontal="right" vertical="center"/>
    </xf>
    <xf numFmtId="177" fontId="60" fillId="54" borderId="94" xfId="2" applyNumberFormat="1" applyFont="1" applyFill="1" applyBorder="1" applyAlignment="1">
      <alignment horizontal="right" vertical="center"/>
    </xf>
    <xf numFmtId="167" fontId="60" fillId="54" borderId="101" xfId="13" applyNumberFormat="1" applyFont="1" applyFill="1" applyBorder="1" applyAlignment="1">
      <alignment horizontal="right" vertical="center"/>
    </xf>
    <xf numFmtId="0" fontId="60" fillId="54" borderId="109" xfId="13" applyNumberFormat="1" applyFont="1" applyFill="1" applyBorder="1" applyAlignment="1">
      <alignment horizontal="center" vertical="center"/>
    </xf>
    <xf numFmtId="0" fontId="60" fillId="54" borderId="90" xfId="13" applyNumberFormat="1" applyFont="1" applyFill="1" applyBorder="1" applyAlignment="1">
      <alignment horizontal="center" vertical="center" wrapText="1"/>
    </xf>
    <xf numFmtId="167" fontId="60" fillId="54" borderId="90" xfId="13" applyNumberFormat="1" applyFont="1" applyFill="1" applyBorder="1" applyAlignment="1">
      <alignment horizontal="right" vertical="center"/>
    </xf>
    <xf numFmtId="0" fontId="60" fillId="55" borderId="63" xfId="11" applyFont="1" applyFill="1" applyBorder="1" applyAlignment="1">
      <alignment vertical="center"/>
    </xf>
    <xf numFmtId="0" fontId="60" fillId="55" borderId="110" xfId="11" applyFont="1" applyFill="1" applyBorder="1" applyAlignment="1">
      <alignment vertical="center"/>
    </xf>
    <xf numFmtId="17" fontId="60" fillId="55" borderId="63" xfId="11" applyNumberFormat="1" applyFont="1" applyFill="1" applyBorder="1" applyAlignment="1">
      <alignment horizontal="right" vertical="center"/>
    </xf>
    <xf numFmtId="42" fontId="60" fillId="55" borderId="63" xfId="12" applyFont="1" applyFill="1" applyBorder="1" applyAlignment="1" applyProtection="1">
      <alignment vertical="center"/>
      <protection locked="0"/>
    </xf>
    <xf numFmtId="167" fontId="60" fillId="55" borderId="63" xfId="13" applyNumberFormat="1" applyFont="1" applyFill="1" applyBorder="1" applyAlignment="1">
      <alignment horizontal="right" vertical="center"/>
    </xf>
    <xf numFmtId="177" fontId="60" fillId="55" borderId="63" xfId="2" applyNumberFormat="1" applyFont="1" applyFill="1" applyBorder="1" applyAlignment="1">
      <alignment horizontal="right" vertical="center"/>
    </xf>
    <xf numFmtId="0" fontId="60" fillId="55" borderId="63" xfId="13" applyNumberFormat="1" applyFont="1" applyFill="1" applyBorder="1" applyAlignment="1">
      <alignment horizontal="center" vertical="center"/>
    </xf>
    <xf numFmtId="0" fontId="60" fillId="55" borderId="63" xfId="13" applyNumberFormat="1" applyFont="1" applyFill="1" applyBorder="1" applyAlignment="1">
      <alignment horizontal="center" wrapText="1"/>
    </xf>
    <xf numFmtId="0" fontId="25" fillId="34" borderId="13" xfId="11" applyFont="1" applyFill="1" applyAlignment="1">
      <alignment vertical="center"/>
    </xf>
    <xf numFmtId="0" fontId="25" fillId="0" borderId="0" xfId="0" applyFont="1"/>
    <xf numFmtId="0" fontId="60" fillId="55" borderId="91" xfId="11" applyFont="1" applyFill="1" applyBorder="1" applyAlignment="1">
      <alignment vertical="center"/>
    </xf>
    <xf numFmtId="0" fontId="60" fillId="55" borderId="107" xfId="11" applyFont="1" applyFill="1" applyBorder="1" applyAlignment="1">
      <alignment vertical="center"/>
    </xf>
    <xf numFmtId="17" fontId="60" fillId="55" borderId="91" xfId="11" applyNumberFormat="1" applyFont="1" applyFill="1" applyBorder="1" applyAlignment="1">
      <alignment horizontal="right" vertical="center"/>
    </xf>
    <xf numFmtId="42" fontId="60" fillId="55" borderId="91" xfId="12" applyFont="1" applyFill="1" applyBorder="1" applyAlignment="1" applyProtection="1">
      <alignment vertical="center"/>
      <protection locked="0"/>
    </xf>
    <xf numFmtId="167" fontId="60" fillId="55" borderId="91" xfId="13" applyNumberFormat="1" applyFont="1" applyFill="1" applyBorder="1" applyAlignment="1">
      <alignment horizontal="right" vertical="center"/>
    </xf>
    <xf numFmtId="41" fontId="60" fillId="55" borderId="91" xfId="3" applyFont="1" applyFill="1" applyBorder="1" applyAlignment="1" applyProtection="1">
      <alignment vertical="center"/>
    </xf>
    <xf numFmtId="0" fontId="60" fillId="55" borderId="91" xfId="13" applyNumberFormat="1" applyFont="1" applyFill="1" applyBorder="1" applyAlignment="1">
      <alignment horizontal="center" vertical="center"/>
    </xf>
    <xf numFmtId="0" fontId="60" fillId="55" borderId="91" xfId="13" applyNumberFormat="1" applyFont="1" applyFill="1" applyBorder="1" applyAlignment="1">
      <alignment horizontal="center" wrapText="1"/>
    </xf>
    <xf numFmtId="0" fontId="60" fillId="55" borderId="91" xfId="13" applyNumberFormat="1" applyFont="1" applyFill="1" applyBorder="1" applyAlignment="1">
      <alignment horizontal="center"/>
    </xf>
    <xf numFmtId="0" fontId="60" fillId="54" borderId="92" xfId="11" applyFont="1" applyFill="1" applyBorder="1" applyAlignment="1">
      <alignment vertical="center"/>
    </xf>
    <xf numFmtId="0" fontId="60" fillId="54" borderId="111" xfId="11" applyFont="1" applyFill="1" applyBorder="1" applyAlignment="1">
      <alignment vertical="center"/>
    </xf>
    <xf numFmtId="17" fontId="60" fillId="54" borderId="92" xfId="11" applyNumberFormat="1" applyFont="1" applyFill="1" applyBorder="1" applyAlignment="1">
      <alignment horizontal="right" vertical="center"/>
    </xf>
    <xf numFmtId="42" fontId="60" fillId="54" borderId="92" xfId="12" applyFont="1" applyFill="1" applyBorder="1" applyAlignment="1" applyProtection="1">
      <alignment vertical="center"/>
      <protection locked="0"/>
    </xf>
    <xf numFmtId="167" fontId="60" fillId="54" borderId="92" xfId="13" applyNumberFormat="1" applyFont="1" applyFill="1" applyBorder="1" applyAlignment="1">
      <alignment horizontal="right" vertical="center"/>
    </xf>
    <xf numFmtId="41" fontId="60" fillId="54" borderId="92" xfId="3" applyFont="1" applyFill="1" applyBorder="1" applyAlignment="1" applyProtection="1">
      <alignment vertical="center"/>
    </xf>
    <xf numFmtId="0" fontId="60" fillId="54" borderId="92" xfId="13" applyNumberFormat="1" applyFont="1" applyFill="1" applyBorder="1" applyAlignment="1">
      <alignment horizontal="center" vertical="center"/>
    </xf>
    <xf numFmtId="0" fontId="60" fillId="54" borderId="92" xfId="13" applyNumberFormat="1" applyFont="1" applyFill="1" applyBorder="1" applyAlignment="1">
      <alignment horizontal="center" wrapText="1"/>
    </xf>
    <xf numFmtId="0" fontId="60" fillId="34" borderId="13" xfId="11" applyFont="1" applyFill="1" applyAlignment="1">
      <alignment vertical="center"/>
    </xf>
    <xf numFmtId="17" fontId="25" fillId="34" borderId="13" xfId="11" applyNumberFormat="1" applyFont="1" applyFill="1" applyAlignment="1">
      <alignment horizontal="right" vertical="center"/>
    </xf>
    <xf numFmtId="0" fontId="85" fillId="34" borderId="13" xfId="11" applyFont="1" applyFill="1" applyAlignment="1">
      <alignment vertical="center"/>
    </xf>
    <xf numFmtId="42" fontId="86" fillId="34" borderId="13" xfId="12" applyFont="1" applyFill="1" applyBorder="1" applyAlignment="1">
      <alignment vertical="center"/>
    </xf>
    <xf numFmtId="0" fontId="86" fillId="34" borderId="13" xfId="11" applyFont="1" applyFill="1" applyAlignment="1">
      <alignment vertical="center"/>
    </xf>
    <xf numFmtId="178" fontId="84" fillId="0" borderId="0" xfId="0" applyNumberFormat="1" applyFont="1"/>
    <xf numFmtId="0" fontId="87" fillId="0" borderId="13" xfId="11" applyFont="1" applyAlignment="1">
      <alignment vertical="center"/>
    </xf>
    <xf numFmtId="0" fontId="88" fillId="34" borderId="13" xfId="11" applyFont="1" applyFill="1" applyAlignment="1">
      <alignment horizontal="left" vertical="center"/>
    </xf>
    <xf numFmtId="0" fontId="89" fillId="34" borderId="13" xfId="11" applyFont="1" applyFill="1" applyAlignment="1">
      <alignment horizontal="left" vertical="center"/>
    </xf>
    <xf numFmtId="0" fontId="84" fillId="0" borderId="40" xfId="0" applyFont="1" applyBorder="1" applyAlignment="1">
      <alignment horizontal="center"/>
    </xf>
    <xf numFmtId="0" fontId="60" fillId="55" borderId="40" xfId="13" applyNumberFormat="1" applyFont="1" applyFill="1" applyBorder="1" applyAlignment="1">
      <alignment horizontal="center" wrapText="1"/>
    </xf>
    <xf numFmtId="0" fontId="84" fillId="54" borderId="40" xfId="0" applyFont="1" applyFill="1" applyBorder="1"/>
    <xf numFmtId="0" fontId="18" fillId="0" borderId="95" xfId="11" applyFont="1" applyBorder="1" applyAlignment="1">
      <alignment vertical="center"/>
    </xf>
    <xf numFmtId="0" fontId="18" fillId="0" borderId="63" xfId="11" applyFont="1" applyBorder="1" applyAlignment="1">
      <alignment vertical="center"/>
    </xf>
    <xf numFmtId="0" fontId="18" fillId="0" borderId="63" xfId="12" applyNumberFormat="1" applyFont="1" applyFill="1" applyBorder="1" applyAlignment="1" applyProtection="1">
      <alignment horizontal="center" vertical="center"/>
      <protection locked="0"/>
    </xf>
    <xf numFmtId="0" fontId="18" fillId="0" borderId="66" xfId="13" applyNumberFormat="1" applyFont="1" applyFill="1" applyBorder="1" applyAlignment="1">
      <alignment horizontal="center" vertical="center"/>
    </xf>
    <xf numFmtId="0" fontId="18" fillId="0" borderId="64" xfId="11" applyFont="1" applyBorder="1" applyAlignment="1" applyProtection="1">
      <alignment horizontal="center" vertical="center"/>
      <protection locked="0"/>
    </xf>
    <xf numFmtId="0" fontId="18" fillId="0" borderId="97" xfId="11" applyFont="1" applyBorder="1" applyAlignment="1">
      <alignment vertical="center"/>
    </xf>
    <xf numFmtId="0" fontId="18" fillId="0" borderId="91" xfId="11" applyFont="1" applyBorder="1" applyAlignment="1">
      <alignment vertical="center"/>
    </xf>
    <xf numFmtId="0" fontId="18" fillId="0" borderId="91" xfId="12" applyNumberFormat="1" applyFont="1" applyFill="1" applyBorder="1" applyAlignment="1" applyProtection="1">
      <alignment horizontal="center" vertical="center"/>
      <protection locked="0"/>
    </xf>
    <xf numFmtId="0" fontId="18" fillId="0" borderId="40" xfId="13" applyNumberFormat="1" applyFont="1" applyFill="1" applyBorder="1" applyAlignment="1">
      <alignment horizontal="center" vertical="center"/>
    </xf>
    <xf numFmtId="0" fontId="18" fillId="0" borderId="88" xfId="11" applyFont="1" applyBorder="1" applyAlignment="1" applyProtection="1">
      <alignment horizontal="center" vertical="center"/>
      <protection locked="0"/>
    </xf>
    <xf numFmtId="0" fontId="18" fillId="0" borderId="91" xfId="4" applyNumberFormat="1" applyFont="1" applyFill="1" applyBorder="1" applyAlignment="1" applyProtection="1">
      <alignment horizontal="center" vertical="center"/>
      <protection locked="0"/>
    </xf>
    <xf numFmtId="0" fontId="18" fillId="0" borderId="109" xfId="11" applyFont="1" applyBorder="1" applyAlignment="1">
      <alignment vertical="center"/>
    </xf>
    <xf numFmtId="0" fontId="18" fillId="0" borderId="90" xfId="11" applyFont="1" applyBorder="1" applyAlignment="1">
      <alignment vertical="center"/>
    </xf>
    <xf numFmtId="0" fontId="18" fillId="0" borderId="94" xfId="13" applyNumberFormat="1" applyFont="1" applyFill="1" applyBorder="1" applyAlignment="1">
      <alignment horizontal="center" vertical="center"/>
    </xf>
    <xf numFmtId="0" fontId="18" fillId="0" borderId="102" xfId="11" applyFont="1" applyBorder="1" applyAlignment="1" applyProtection="1">
      <alignment horizontal="center" vertical="center"/>
      <protection locked="0"/>
    </xf>
    <xf numFmtId="0" fontId="18" fillId="0" borderId="114" xfId="11" applyFont="1" applyBorder="1" applyAlignment="1">
      <alignment vertical="center"/>
    </xf>
    <xf numFmtId="0" fontId="18" fillId="0" borderId="95" xfId="12" applyNumberFormat="1" applyFont="1" applyFill="1" applyBorder="1" applyAlignment="1" applyProtection="1">
      <alignment horizontal="center" vertical="center"/>
      <protection locked="0"/>
    </xf>
    <xf numFmtId="0" fontId="18" fillId="0" borderId="64" xfId="13" applyNumberFormat="1" applyFont="1" applyFill="1" applyBorder="1" applyAlignment="1">
      <alignment horizontal="center" vertical="center"/>
    </xf>
    <xf numFmtId="0" fontId="18" fillId="0" borderId="65" xfId="13" applyNumberFormat="1" applyFont="1" applyFill="1" applyBorder="1" applyAlignment="1">
      <alignment horizontal="center" vertical="center"/>
    </xf>
    <xf numFmtId="0" fontId="18" fillId="0" borderId="115" xfId="3" applyNumberFormat="1" applyFont="1" applyFill="1" applyBorder="1" applyAlignment="1" applyProtection="1">
      <alignment horizontal="center" vertical="center"/>
      <protection locked="0"/>
    </xf>
    <xf numFmtId="0" fontId="18" fillId="0" borderId="48" xfId="11" applyFont="1" applyBorder="1" applyAlignment="1">
      <alignment vertical="center"/>
    </xf>
    <xf numFmtId="0" fontId="18" fillId="0" borderId="70" xfId="11" applyFont="1" applyBorder="1" applyAlignment="1">
      <alignment vertical="center"/>
    </xf>
    <xf numFmtId="0" fontId="18" fillId="0" borderId="97" xfId="12" applyNumberFormat="1" applyFont="1" applyFill="1" applyBorder="1" applyAlignment="1" applyProtection="1">
      <alignment horizontal="center" vertical="center"/>
      <protection locked="0"/>
    </xf>
    <xf numFmtId="0" fontId="18" fillId="0" borderId="88" xfId="13" applyNumberFormat="1" applyFont="1" applyFill="1" applyBorder="1" applyAlignment="1">
      <alignment horizontal="center" vertical="center"/>
    </xf>
    <xf numFmtId="0" fontId="18" fillId="0" borderId="89" xfId="13" applyNumberFormat="1" applyFont="1" applyFill="1" applyBorder="1" applyAlignment="1">
      <alignment horizontal="center" vertical="center"/>
    </xf>
    <xf numFmtId="0" fontId="18" fillId="0" borderId="36" xfId="3" applyNumberFormat="1" applyFont="1" applyFill="1" applyBorder="1" applyAlignment="1" applyProtection="1">
      <alignment horizontal="center" vertical="center"/>
      <protection locked="0"/>
    </xf>
    <xf numFmtId="0" fontId="18" fillId="0" borderId="13" xfId="11" applyFont="1" applyAlignment="1">
      <alignment vertical="center"/>
    </xf>
    <xf numFmtId="0" fontId="18" fillId="0" borderId="73" xfId="11" applyFont="1" applyBorder="1" applyAlignment="1">
      <alignment vertical="center"/>
    </xf>
    <xf numFmtId="0" fontId="18" fillId="0" borderId="35" xfId="11" applyFont="1" applyBorder="1" applyAlignment="1">
      <alignment vertical="center"/>
    </xf>
    <xf numFmtId="0" fontId="18" fillId="0" borderId="38" xfId="12" applyNumberFormat="1" applyFont="1" applyFill="1" applyBorder="1" applyAlignment="1" applyProtection="1">
      <alignment horizontal="center" vertical="center"/>
      <protection locked="0"/>
    </xf>
    <xf numFmtId="0" fontId="18" fillId="0" borderId="102" xfId="13" applyNumberFormat="1" applyFont="1" applyFill="1" applyBorder="1" applyAlignment="1">
      <alignment horizontal="center" vertical="center"/>
    </xf>
    <xf numFmtId="0" fontId="18" fillId="0" borderId="101" xfId="13" applyNumberFormat="1" applyFont="1" applyFill="1" applyBorder="1" applyAlignment="1">
      <alignment horizontal="center" vertical="center"/>
    </xf>
    <xf numFmtId="0" fontId="18" fillId="0" borderId="39" xfId="3" applyNumberFormat="1" applyFont="1" applyFill="1" applyBorder="1" applyAlignment="1" applyProtection="1">
      <alignment horizontal="center" vertical="center"/>
      <protection locked="0"/>
    </xf>
    <xf numFmtId="0" fontId="18" fillId="0" borderId="104" xfId="11" applyFont="1" applyBorder="1" applyAlignment="1">
      <alignment vertical="center"/>
    </xf>
    <xf numFmtId="0" fontId="18" fillId="0" borderId="75" xfId="11" applyFont="1" applyBorder="1" applyAlignment="1">
      <alignment vertical="center"/>
    </xf>
    <xf numFmtId="0" fontId="18" fillId="0" borderId="103" xfId="12" applyNumberFormat="1" applyFont="1" applyFill="1" applyBorder="1" applyAlignment="1" applyProtection="1">
      <alignment horizontal="center" vertical="center"/>
      <protection locked="0"/>
    </xf>
    <xf numFmtId="0" fontId="18" fillId="0" borderId="81" xfId="13" applyNumberFormat="1" applyFont="1" applyFill="1" applyBorder="1" applyAlignment="1">
      <alignment horizontal="center" vertical="center"/>
    </xf>
    <xf numFmtId="0" fontId="18" fillId="0" borderId="82" xfId="13" applyNumberFormat="1" applyFont="1" applyFill="1" applyBorder="1" applyAlignment="1">
      <alignment horizontal="center" vertical="center"/>
    </xf>
    <xf numFmtId="0" fontId="18" fillId="0" borderId="116" xfId="3" applyNumberFormat="1" applyFont="1" applyFill="1" applyBorder="1" applyAlignment="1" applyProtection="1">
      <alignment horizontal="center" vertical="center"/>
      <protection locked="0"/>
    </xf>
    <xf numFmtId="0" fontId="18" fillId="0" borderId="87" xfId="13" applyNumberFormat="1" applyFont="1" applyFill="1" applyBorder="1" applyAlignment="1">
      <alignment horizontal="center" vertical="center"/>
    </xf>
  </cellXfs>
  <cellStyles count="14">
    <cellStyle name="Comma" xfId="2" builtinId="3"/>
    <cellStyle name="Comma [0]" xfId="3" builtinId="6"/>
    <cellStyle name="Currency [0]" xfId="4" builtinId="7"/>
    <cellStyle name="Hyperlink" xfId="1" builtinId="8"/>
    <cellStyle name="Moneda [0] 2" xfId="8" xr:uid="{DE8D78D8-A4DC-4BE6-B5C2-CED896CAFD46}"/>
    <cellStyle name="Moneda [0] 2 2" xfId="12" xr:uid="{62EFFD18-E186-4000-9C28-C6FAD875031F}"/>
    <cellStyle name="Moneda [0] 3" xfId="10" xr:uid="{D9B46453-0747-46A3-8183-6EFE3DF4F0DF}"/>
    <cellStyle name="Normal" xfId="0" builtinId="0"/>
    <cellStyle name="Normal 10" xfId="9" xr:uid="{CEFE99B6-30C3-4752-B16D-72F492CA5D24}"/>
    <cellStyle name="Normal 2" xfId="6" xr:uid="{98FF3F7F-DE36-4EDA-9020-819946B36CC6}"/>
    <cellStyle name="Normal 2 10" xfId="7" xr:uid="{66093DDD-C570-41CC-A230-DB18BA2F8968}"/>
    <cellStyle name="Normal 3 2" xfId="11" xr:uid="{38D6C4CD-93BE-4226-85FF-FAEF60755538}"/>
    <cellStyle name="Percent" xfId="5" builtinId="5"/>
    <cellStyle name="Porcentaje 2 2" xfId="13" xr:uid="{76EB0E81-E937-466B-8603-584325CB4F1D}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1" defaultTableStyle="TableStyleMedium2" defaultPivotStyle="PivotStyleLight16">
    <tableStyle name="Invisible" pivot="0" table="0" count="0" xr9:uid="{0158C700-F59A-45F3-87DB-B51AD5B4D2A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2" Type="http://schemas.openxmlformats.org/officeDocument/2006/relationships/worksheet" Target="worksheets/sheet2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23" Type="http://schemas.openxmlformats.org/officeDocument/2006/relationships/calcChain" Target="calcChain.xml"/><Relationship Id="rId19" Type="http://customschemas.google.com/relationships/workbookmetadata" Target="metadata"/><Relationship Id="rId4" Type="http://schemas.openxmlformats.org/officeDocument/2006/relationships/worksheet" Target="worksheets/sheet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1419225</xdr:colOff>
      <xdr:row>0</xdr:row>
      <xdr:rowOff>266700</xdr:rowOff>
    </xdr:from>
    <xdr:ext cx="6400800" cy="1390650"/>
    <xdr:pic>
      <xdr:nvPicPr>
        <xdr:cNvPr id="2" name="image2.png" title="Imagen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68</xdr:row>
      <xdr:rowOff>0</xdr:rowOff>
    </xdr:from>
    <xdr:to>
      <xdr:col>5</xdr:col>
      <xdr:colOff>321945</xdr:colOff>
      <xdr:row>107</xdr:row>
      <xdr:rowOff>132241</xdr:rowOff>
    </xdr:to>
    <xdr:pic>
      <xdr:nvPicPr>
        <xdr:cNvPr id="3" name="Imagen 1">
          <a:extLst>
            <a:ext uri="{FF2B5EF4-FFF2-40B4-BE49-F238E27FC236}">
              <a16:creationId xmlns:a16="http://schemas.microsoft.com/office/drawing/2014/main" id="{CD65099E-2188-40D2-A376-18CBD0EA98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7183100"/>
          <a:ext cx="8894445" cy="667020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ebpay.cl/company/33138" TargetMode="External"/><Relationship Id="rId7" Type="http://schemas.openxmlformats.org/officeDocument/2006/relationships/hyperlink" Target="https://maestra.cl/conoce-tus-fechas-de-entrega/" TargetMode="External"/><Relationship Id="rId2" Type="http://schemas.openxmlformats.org/officeDocument/2006/relationships/hyperlink" Target="https://pay.upago.cl/go/inmobiliaria-maestra" TargetMode="External"/><Relationship Id="rId1" Type="http://schemas.openxmlformats.org/officeDocument/2006/relationships/hyperlink" Target="https://www.webpay.cl/company/32764" TargetMode="External"/><Relationship Id="rId6" Type="http://schemas.openxmlformats.org/officeDocument/2006/relationships/hyperlink" Target="https://maestra.cl/proyectos/" TargetMode="External"/><Relationship Id="rId5" Type="http://schemas.openxmlformats.org/officeDocument/2006/relationships/hyperlink" Target="https://maestra.cl/conoce-tus-fechas-de-entrega/" TargetMode="External"/><Relationship Id="rId4" Type="http://schemas.openxmlformats.org/officeDocument/2006/relationships/hyperlink" Target="mailto:CANAL.BROKER@maestra.cl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AA1000"/>
  <sheetViews>
    <sheetView workbookViewId="0"/>
  </sheetViews>
  <sheetFormatPr defaultColWidth="12.5546875" defaultRowHeight="15" customHeight="1"/>
  <cols>
    <col min="1" max="1" width="17.44140625" customWidth="1"/>
    <col min="2" max="2" width="28.5546875" customWidth="1"/>
    <col min="3" max="3" width="27.33203125" customWidth="1"/>
    <col min="5" max="5" width="32" customWidth="1"/>
    <col min="6" max="6" width="22.88671875" customWidth="1"/>
    <col min="7" max="7" width="21.109375" customWidth="1"/>
  </cols>
  <sheetData>
    <row r="1" spans="1:27" ht="116.25" customHeight="1">
      <c r="A1" s="1"/>
      <c r="B1" s="40"/>
      <c r="C1" s="30"/>
      <c r="D1" s="30"/>
      <c r="E1" s="30"/>
      <c r="F1" s="30"/>
      <c r="G1" s="3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5.75" customHeight="1">
      <c r="A2" s="1"/>
      <c r="B2" s="41"/>
      <c r="C2" s="42"/>
      <c r="D2" s="42"/>
      <c r="E2" s="42"/>
      <c r="F2" s="42"/>
      <c r="G2" s="43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5.75" customHeight="1">
      <c r="A3" s="1"/>
      <c r="B3" s="32"/>
      <c r="C3" s="33"/>
      <c r="D3" s="33"/>
      <c r="E3" s="33"/>
      <c r="F3" s="33"/>
      <c r="G3" s="34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5.75" customHeight="1">
      <c r="A4" s="1"/>
      <c r="B4" s="37" t="s">
        <v>73</v>
      </c>
      <c r="C4" s="28"/>
      <c r="D4" s="28"/>
      <c r="E4" s="28"/>
      <c r="F4" s="28"/>
      <c r="G4" s="26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15.7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15.75" customHeight="1">
      <c r="A6" s="1"/>
      <c r="B6" s="2" t="s">
        <v>74</v>
      </c>
      <c r="C6" s="39"/>
      <c r="D6" s="26"/>
      <c r="E6" s="2" t="s">
        <v>75</v>
      </c>
      <c r="F6" s="39"/>
      <c r="G6" s="26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15.75" customHeight="1">
      <c r="A7" s="1"/>
      <c r="B7" s="2" t="s">
        <v>76</v>
      </c>
      <c r="C7" s="39"/>
      <c r="D7" s="26"/>
      <c r="E7" s="2" t="s">
        <v>77</v>
      </c>
      <c r="F7" s="39"/>
      <c r="G7" s="26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15.75" customHeight="1">
      <c r="A8" s="1"/>
      <c r="B8" s="38"/>
      <c r="C8" s="28"/>
      <c r="D8" s="28"/>
      <c r="E8" s="28"/>
      <c r="F8" s="28"/>
      <c r="G8" s="26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15.75" customHeight="1">
      <c r="A9" s="1"/>
      <c r="B9" s="29" t="s">
        <v>78</v>
      </c>
      <c r="C9" s="30"/>
      <c r="D9" s="30"/>
      <c r="E9" s="30"/>
      <c r="F9" s="30"/>
      <c r="G9" s="3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ht="15.75" customHeight="1">
      <c r="A10" s="1"/>
      <c r="B10" s="32"/>
      <c r="C10" s="33"/>
      <c r="D10" s="33"/>
      <c r="E10" s="33"/>
      <c r="F10" s="33"/>
      <c r="G10" s="34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ht="15.75" customHeight="1">
      <c r="A11" s="1"/>
      <c r="B11" s="38"/>
      <c r="C11" s="28"/>
      <c r="D11" s="28"/>
      <c r="E11" s="28"/>
      <c r="F11" s="28"/>
      <c r="G11" s="26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ht="15.75" customHeight="1">
      <c r="A12" s="1"/>
      <c r="B12" s="2" t="s">
        <v>72</v>
      </c>
      <c r="C12" s="39"/>
      <c r="D12" s="26"/>
      <c r="E12" s="2" t="s">
        <v>79</v>
      </c>
      <c r="F12" s="39"/>
      <c r="G12" s="26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ht="15.75" customHeight="1">
      <c r="A13" s="1"/>
      <c r="B13" s="1"/>
      <c r="C13" s="1"/>
      <c r="D13" s="1"/>
      <c r="E13" s="2" t="s">
        <v>80</v>
      </c>
      <c r="F13" s="36" t="s">
        <v>27</v>
      </c>
      <c r="G13" s="26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ht="15.7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ht="15.75" customHeight="1">
      <c r="A15" s="1"/>
      <c r="B15" s="37" t="s">
        <v>81</v>
      </c>
      <c r="C15" s="28"/>
      <c r="D15" s="28"/>
      <c r="E15" s="28"/>
      <c r="F15" s="28"/>
      <c r="G15" s="26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ht="15.75" customHeight="1">
      <c r="A16" s="1"/>
      <c r="B16" s="38"/>
      <c r="C16" s="28"/>
      <c r="D16" s="28"/>
      <c r="E16" s="28"/>
      <c r="F16" s="28"/>
      <c r="G16" s="26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ht="15.75" customHeight="1">
      <c r="A17" s="1"/>
      <c r="B17" s="2" t="s">
        <v>82</v>
      </c>
      <c r="C17" s="16"/>
      <c r="D17" s="2" t="s">
        <v>83</v>
      </c>
      <c r="E17" s="17"/>
      <c r="F17" s="2" t="s">
        <v>84</v>
      </c>
      <c r="G17" s="17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ht="15.75" customHeight="1">
      <c r="A18" s="1"/>
      <c r="B18" s="2" t="s">
        <v>85</v>
      </c>
      <c r="C18" s="17"/>
      <c r="D18" s="2" t="s">
        <v>86</v>
      </c>
      <c r="E18" s="17"/>
      <c r="F18" s="2" t="s">
        <v>87</v>
      </c>
      <c r="G18" s="17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ht="15.75" customHeight="1">
      <c r="A19" s="1"/>
      <c r="B19" s="2" t="s">
        <v>88</v>
      </c>
      <c r="C19" s="17"/>
      <c r="D19" s="2" t="s">
        <v>89</v>
      </c>
      <c r="E19" s="17"/>
      <c r="F19" s="2" t="s">
        <v>90</v>
      </c>
      <c r="G19" s="18">
        <f>E19+C19</f>
        <v>0</v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15.75" customHeight="1">
      <c r="A20" s="1"/>
      <c r="B20" s="2" t="s">
        <v>91</v>
      </c>
      <c r="C20" s="18">
        <v>35000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15.75" customHeight="1">
      <c r="A22" s="1"/>
      <c r="B22" s="29" t="s">
        <v>92</v>
      </c>
      <c r="C22" s="30"/>
      <c r="D22" s="30"/>
      <c r="E22" s="30"/>
      <c r="F22" s="30"/>
      <c r="G22" s="3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15.75" customHeight="1">
      <c r="A23" s="1"/>
      <c r="B23" s="32"/>
      <c r="C23" s="33"/>
      <c r="D23" s="33"/>
      <c r="E23" s="33"/>
      <c r="F23" s="33"/>
      <c r="G23" s="34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15.75" customHeight="1">
      <c r="A24" s="1"/>
      <c r="B24" s="1"/>
      <c r="C24" s="1"/>
      <c r="D24" s="1"/>
      <c r="E24" s="3" t="s">
        <v>93</v>
      </c>
      <c r="F24" s="3" t="s">
        <v>94</v>
      </c>
      <c r="G24" s="3" t="s">
        <v>95</v>
      </c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15.75" customHeight="1">
      <c r="A25" s="1"/>
      <c r="B25" s="25" t="s">
        <v>127</v>
      </c>
      <c r="C25" s="26"/>
      <c r="D25" s="1"/>
      <c r="E25" s="18">
        <v>2976</v>
      </c>
      <c r="F25" s="10"/>
      <c r="G25" s="9">
        <f t="shared" ref="G25:G28" si="0">E25*$C$20</f>
        <v>104160000</v>
      </c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15.75" customHeight="1">
      <c r="A26" s="1"/>
      <c r="B26" s="25" t="s">
        <v>9</v>
      </c>
      <c r="C26" s="26"/>
      <c r="D26" s="1"/>
      <c r="E26" s="18">
        <v>0</v>
      </c>
      <c r="F26" s="10"/>
      <c r="G26" s="9">
        <f t="shared" si="0"/>
        <v>0</v>
      </c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15.75" customHeight="1">
      <c r="A27" s="1"/>
      <c r="B27" s="25" t="s">
        <v>28</v>
      </c>
      <c r="C27" s="26"/>
      <c r="D27" s="1"/>
      <c r="E27" s="17"/>
      <c r="F27" s="10"/>
      <c r="G27" s="9">
        <f t="shared" si="0"/>
        <v>0</v>
      </c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15.75" customHeight="1">
      <c r="A28" s="1"/>
      <c r="B28" s="25" t="s">
        <v>128</v>
      </c>
      <c r="C28" s="26"/>
      <c r="D28" s="1"/>
      <c r="E28" s="7">
        <f>E25*F28</f>
        <v>446.4</v>
      </c>
      <c r="F28" s="19">
        <v>0.15</v>
      </c>
      <c r="G28" s="9">
        <f t="shared" si="0"/>
        <v>15624000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15.75" customHeight="1">
      <c r="A29" s="1"/>
      <c r="B29" s="2" t="s">
        <v>129</v>
      </c>
      <c r="C29" s="2"/>
      <c r="D29" s="1"/>
      <c r="E29" s="7">
        <f>(E25-E28)+E26+E27</f>
        <v>2529.6</v>
      </c>
      <c r="F29" s="19"/>
      <c r="G29" s="9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15.75" customHeight="1">
      <c r="A30" s="1"/>
      <c r="B30" s="25" t="s">
        <v>130</v>
      </c>
      <c r="C30" s="26"/>
      <c r="D30" s="1"/>
      <c r="E30" s="7">
        <f>E29*F30</f>
        <v>252.96</v>
      </c>
      <c r="F30" s="19">
        <v>0.1</v>
      </c>
      <c r="G30" s="9">
        <f>E30*$C$20</f>
        <v>8853600</v>
      </c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15.75" customHeight="1">
      <c r="A31" s="1"/>
      <c r="B31" s="25" t="s">
        <v>71</v>
      </c>
      <c r="C31" s="26"/>
      <c r="D31" s="1"/>
      <c r="E31" s="18">
        <f>IF(E30=0,0,10)</f>
        <v>10</v>
      </c>
      <c r="F31" s="8">
        <f>G31/G39</f>
        <v>4.39243797877574E-3</v>
      </c>
      <c r="G31" s="9">
        <f>E31*C20</f>
        <v>350000</v>
      </c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15.75" customHeight="1">
      <c r="A32" s="1"/>
      <c r="B32" s="2" t="s">
        <v>97</v>
      </c>
      <c r="C32" s="2"/>
      <c r="D32" s="1"/>
      <c r="E32" s="7">
        <f>(E25-E28)*F32</f>
        <v>252.96</v>
      </c>
      <c r="F32" s="19">
        <v>0.1</v>
      </c>
      <c r="G32" s="9">
        <f>E32*C20</f>
        <v>8853600</v>
      </c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15.75" customHeight="1">
      <c r="A33" s="1"/>
      <c r="B33" s="25" t="s">
        <v>131</v>
      </c>
      <c r="C33" s="26"/>
      <c r="D33" s="1"/>
      <c r="E33" s="7">
        <f>E25-E28-E30</f>
        <v>2276.64</v>
      </c>
      <c r="F33" s="10"/>
      <c r="G33" s="9">
        <f t="shared" ref="G33:G34" si="1">E33*$C$20</f>
        <v>79682400</v>
      </c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15.75" customHeight="1">
      <c r="A34" s="1"/>
      <c r="B34" s="25" t="s">
        <v>132</v>
      </c>
      <c r="C34" s="26"/>
      <c r="D34" s="1"/>
      <c r="E34" s="7">
        <f>E33+E32</f>
        <v>2529.6</v>
      </c>
      <c r="F34" s="5"/>
      <c r="G34" s="20">
        <f t="shared" si="1"/>
        <v>88536000</v>
      </c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6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5.75" customHeight="1">
      <c r="A36" s="1"/>
      <c r="B36" s="29" t="s">
        <v>98</v>
      </c>
      <c r="C36" s="30"/>
      <c r="D36" s="30"/>
      <c r="E36" s="30"/>
      <c r="F36" s="30"/>
      <c r="G36" s="31"/>
      <c r="H36" s="1"/>
      <c r="I36" s="1"/>
      <c r="J36" s="6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5.75" customHeight="1">
      <c r="A37" s="1"/>
      <c r="B37" s="32"/>
      <c r="C37" s="33"/>
      <c r="D37" s="33"/>
      <c r="E37" s="33"/>
      <c r="F37" s="33"/>
      <c r="G37" s="34"/>
      <c r="H37" s="1"/>
      <c r="I37" s="1"/>
      <c r="J37" s="1"/>
      <c r="K37" s="4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5.75" customHeight="1">
      <c r="A38" s="1"/>
      <c r="B38" s="1"/>
      <c r="C38" s="1"/>
      <c r="D38" s="1"/>
      <c r="E38" s="3" t="s">
        <v>93</v>
      </c>
      <c r="F38" s="3" t="s">
        <v>94</v>
      </c>
      <c r="G38" s="3" t="s">
        <v>95</v>
      </c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5.75" customHeight="1">
      <c r="A39" s="1"/>
      <c r="B39" s="25" t="s">
        <v>99</v>
      </c>
      <c r="C39" s="26"/>
      <c r="D39" s="1"/>
      <c r="E39" s="7">
        <f>E33+E26+E27</f>
        <v>2276.64</v>
      </c>
      <c r="F39" s="8">
        <v>1</v>
      </c>
      <c r="G39" s="9">
        <f>E39*C20</f>
        <v>79682400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5.75" customHeight="1">
      <c r="A40" s="1"/>
      <c r="B40" s="25" t="s">
        <v>96</v>
      </c>
      <c r="C40" s="26"/>
      <c r="D40" s="1"/>
      <c r="E40" s="18">
        <f>IF(E30=0,0,50)</f>
        <v>50</v>
      </c>
      <c r="F40" s="8">
        <f t="shared" ref="F40:F41" si="2">E40/E39</f>
        <v>2.19621898938787E-2</v>
      </c>
      <c r="G40" s="9">
        <f>E40*C20</f>
        <v>1750000</v>
      </c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5.75" customHeight="1">
      <c r="A41" s="1"/>
      <c r="B41" s="35" t="s">
        <v>100</v>
      </c>
      <c r="C41" s="26"/>
      <c r="D41" s="1"/>
      <c r="E41" s="7">
        <f>E30/E39</f>
        <v>0.11111111111111112</v>
      </c>
      <c r="F41" s="8">
        <f t="shared" si="2"/>
        <v>2.2222222222222222E-3</v>
      </c>
      <c r="G41" s="9">
        <f>E41*C20</f>
        <v>3888.8888888888891</v>
      </c>
      <c r="H41" s="1"/>
      <c r="I41" s="5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5.75" customHeight="1">
      <c r="A42" s="1"/>
      <c r="B42" s="25" t="s">
        <v>101</v>
      </c>
      <c r="C42" s="26"/>
      <c r="D42" s="21">
        <v>36</v>
      </c>
      <c r="E42" s="7">
        <f>E41/D42</f>
        <v>3.08641975308642E-3</v>
      </c>
      <c r="F42" s="8">
        <f>F41/D42</f>
        <v>6.1728395061728397E-5</v>
      </c>
      <c r="G42" s="9">
        <f>(G41)/D42</f>
        <v>108.0246913580247</v>
      </c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5.75" customHeight="1">
      <c r="A43" s="1"/>
      <c r="B43" s="2"/>
      <c r="C43" s="2"/>
      <c r="D43" s="1"/>
      <c r="E43" s="7"/>
      <c r="F43" s="7"/>
      <c r="G43" s="7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5.75" customHeight="1">
      <c r="A44" s="1"/>
      <c r="B44" s="25" t="s">
        <v>102</v>
      </c>
      <c r="C44" s="26"/>
      <c r="D44" s="1"/>
      <c r="E44" s="7">
        <f>E34*F44</f>
        <v>2276.64</v>
      </c>
      <c r="F44" s="22">
        <v>0.9</v>
      </c>
      <c r="G44" s="9">
        <f>E44*C20</f>
        <v>79682400</v>
      </c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5.75" customHeight="1">
      <c r="A46" s="1"/>
      <c r="B46" s="29" t="s">
        <v>102</v>
      </c>
      <c r="C46" s="30"/>
      <c r="D46" s="30"/>
      <c r="E46" s="30"/>
      <c r="F46" s="30"/>
      <c r="G46" s="3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5.75" customHeight="1">
      <c r="A47" s="1"/>
      <c r="B47" s="32"/>
      <c r="C47" s="33"/>
      <c r="D47" s="33"/>
      <c r="E47" s="33"/>
      <c r="F47" s="33"/>
      <c r="G47" s="34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5.75" customHeight="1">
      <c r="A48" s="1"/>
      <c r="B48" s="25" t="s">
        <v>103</v>
      </c>
      <c r="C48" s="26"/>
      <c r="D48" s="11" t="s">
        <v>104</v>
      </c>
      <c r="E48" s="23">
        <v>30</v>
      </c>
      <c r="F48" s="3">
        <f>E48</f>
        <v>30</v>
      </c>
      <c r="G48" s="3">
        <f>E48</f>
        <v>30</v>
      </c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5.75" customHeight="1">
      <c r="A49" s="1"/>
      <c r="B49" s="25" t="s">
        <v>105</v>
      </c>
      <c r="C49" s="26"/>
      <c r="D49" s="11" t="s">
        <v>94</v>
      </c>
      <c r="E49" s="22">
        <v>0.04</v>
      </c>
      <c r="F49" s="22">
        <v>4.4999999999999998E-2</v>
      </c>
      <c r="G49" s="22">
        <v>0.05</v>
      </c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5.75" customHeight="1">
      <c r="A50" s="1"/>
      <c r="B50" s="25" t="s">
        <v>106</v>
      </c>
      <c r="C50" s="26"/>
      <c r="D50" s="11" t="s">
        <v>95</v>
      </c>
      <c r="E50" s="9">
        <f t="shared" ref="E50:G50" si="3">-1*PMT(E49/12,E48*12,$G$44)</f>
        <v>380415.96539396927</v>
      </c>
      <c r="F50" s="9">
        <f t="shared" si="3"/>
        <v>403739.01531669754</v>
      </c>
      <c r="G50" s="9">
        <f t="shared" si="3"/>
        <v>427752.35293502471</v>
      </c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5.75" customHeight="1">
      <c r="A51" s="1"/>
      <c r="B51" s="25" t="s">
        <v>107</v>
      </c>
      <c r="C51" s="26"/>
      <c r="D51" s="11" t="s">
        <v>93</v>
      </c>
      <c r="E51" s="12">
        <f t="shared" ref="E51:G51" si="4">E50/$C$20</f>
        <v>10.869027582684836</v>
      </c>
      <c r="F51" s="12">
        <f t="shared" si="4"/>
        <v>11.535400437619929</v>
      </c>
      <c r="G51" s="12">
        <f t="shared" si="4"/>
        <v>12.221495798143563</v>
      </c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5.75" customHeight="1">
      <c r="A53" s="1"/>
      <c r="B53" s="29" t="s">
        <v>108</v>
      </c>
      <c r="C53" s="30"/>
      <c r="D53" s="30"/>
      <c r="E53" s="30"/>
      <c r="F53" s="30"/>
      <c r="G53" s="3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5.75" customHeight="1">
      <c r="A54" s="1"/>
      <c r="B54" s="32"/>
      <c r="C54" s="33"/>
      <c r="D54" s="33"/>
      <c r="E54" s="33"/>
      <c r="F54" s="33"/>
      <c r="G54" s="34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5.75" customHeight="1">
      <c r="A55" s="1"/>
      <c r="B55" s="25" t="s">
        <v>109</v>
      </c>
      <c r="C55" s="26"/>
      <c r="D55" s="11" t="s">
        <v>95</v>
      </c>
      <c r="E55" s="24">
        <v>600000</v>
      </c>
      <c r="F55" s="9">
        <f>E55</f>
        <v>600000</v>
      </c>
      <c r="G55" s="9">
        <f>E55</f>
        <v>600000</v>
      </c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5.75" customHeight="1">
      <c r="A56" s="1"/>
      <c r="B56" s="25" t="s">
        <v>106</v>
      </c>
      <c r="C56" s="26"/>
      <c r="D56" s="11" t="s">
        <v>95</v>
      </c>
      <c r="E56" s="9">
        <f t="shared" ref="E56:G56" si="5">E50</f>
        <v>380415.96539396927</v>
      </c>
      <c r="F56" s="9">
        <f t="shared" si="5"/>
        <v>403739.01531669754</v>
      </c>
      <c r="G56" s="9">
        <f t="shared" si="5"/>
        <v>427752.35293502471</v>
      </c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5.75" customHeight="1">
      <c r="A57" s="1"/>
      <c r="B57" s="25" t="s">
        <v>108</v>
      </c>
      <c r="C57" s="26"/>
      <c r="D57" s="11" t="s">
        <v>95</v>
      </c>
      <c r="E57" s="9">
        <f t="shared" ref="E57:G57" si="6">E55-E56</f>
        <v>219584.03460603073</v>
      </c>
      <c r="F57" s="9">
        <f t="shared" si="6"/>
        <v>196260.98468330246</v>
      </c>
      <c r="G57" s="9">
        <f t="shared" si="6"/>
        <v>172247.64706497529</v>
      </c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5.75" customHeight="1">
      <c r="A58" s="1"/>
      <c r="B58" s="1"/>
      <c r="C58" s="1"/>
      <c r="D58" s="1"/>
      <c r="E58" s="13"/>
      <c r="F58" s="13"/>
      <c r="G58" s="13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5.75" customHeight="1">
      <c r="A59" s="1"/>
      <c r="B59" s="29" t="s">
        <v>110</v>
      </c>
      <c r="C59" s="30"/>
      <c r="D59" s="30"/>
      <c r="E59" s="30"/>
      <c r="F59" s="30"/>
      <c r="G59" s="3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5.75" customHeight="1">
      <c r="A60" s="1"/>
      <c r="B60" s="32"/>
      <c r="C60" s="33"/>
      <c r="D60" s="33"/>
      <c r="E60" s="33"/>
      <c r="F60" s="33"/>
      <c r="G60" s="34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5.75" customHeight="1">
      <c r="A61" s="1"/>
      <c r="B61" s="25" t="s">
        <v>111</v>
      </c>
      <c r="C61" s="26"/>
      <c r="D61" s="11" t="s">
        <v>95</v>
      </c>
      <c r="E61" s="9">
        <f t="shared" ref="E61:G61" si="7">E57*12*5</f>
        <v>13175042.076361846</v>
      </c>
      <c r="F61" s="9">
        <f t="shared" si="7"/>
        <v>11775659.080998149</v>
      </c>
      <c r="G61" s="9">
        <f t="shared" si="7"/>
        <v>10334858.823898517</v>
      </c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5.75" customHeight="1">
      <c r="A62" s="1"/>
      <c r="B62" s="2" t="s">
        <v>112</v>
      </c>
      <c r="C62" s="1"/>
      <c r="D62" s="11" t="s">
        <v>95</v>
      </c>
      <c r="E62" s="9">
        <f t="shared" ref="E62:G62" si="8">IF(E49=0,
 $G$44*MIN(60,E48*12)/(E48*12),
 $G$44 - (
   $G$44*(1+E49/12)^MIN(60,E48*12)
   - (-PMT(E49/12,E48*12,$G$44)) * ( ((1+E49/12)^MIN(60,E48*12)-1)/(E49/12) )
 )
)*0.67</f>
        <v>5099806.0312079443</v>
      </c>
      <c r="F62" s="9">
        <f t="shared" si="8"/>
        <v>4720541.1556982901</v>
      </c>
      <c r="G62" s="9">
        <f t="shared" si="8"/>
        <v>4362411.7980012903</v>
      </c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5.75" customHeight="1">
      <c r="A63" s="1"/>
      <c r="B63" s="25" t="s">
        <v>113</v>
      </c>
      <c r="C63" s="26"/>
      <c r="D63" s="11" t="s">
        <v>95</v>
      </c>
      <c r="E63" s="9">
        <f t="shared" ref="E63:G63" si="9">-$G$30</f>
        <v>-8853600</v>
      </c>
      <c r="F63" s="9">
        <f t="shared" si="9"/>
        <v>-8853600</v>
      </c>
      <c r="G63" s="9">
        <f t="shared" si="9"/>
        <v>-8853600</v>
      </c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5.75" customHeight="1">
      <c r="A64" s="1"/>
      <c r="B64" s="2" t="s">
        <v>114</v>
      </c>
      <c r="C64" s="1"/>
      <c r="D64" s="11" t="s">
        <v>94</v>
      </c>
      <c r="E64" s="19">
        <v>0.02</v>
      </c>
      <c r="F64" s="14">
        <f>E64</f>
        <v>0.02</v>
      </c>
      <c r="G64" s="14">
        <f>E64</f>
        <v>0.02</v>
      </c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5.75" customHeight="1">
      <c r="A65" s="1"/>
      <c r="B65" s="25" t="s">
        <v>115</v>
      </c>
      <c r="C65" s="26"/>
      <c r="D65" s="11" t="s">
        <v>95</v>
      </c>
      <c r="E65" s="15">
        <f t="shared" ref="E65:G65" si="10">(1+E64)^(5)-1</f>
        <v>0.10408080320000002</v>
      </c>
      <c r="F65" s="15">
        <f t="shared" si="10"/>
        <v>0.10408080320000002</v>
      </c>
      <c r="G65" s="15">
        <f t="shared" si="10"/>
        <v>0.10408080320000002</v>
      </c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5.75" customHeight="1">
      <c r="A66" s="1"/>
      <c r="B66" s="25" t="s">
        <v>116</v>
      </c>
      <c r="C66" s="26"/>
      <c r="D66" s="11" t="s">
        <v>95</v>
      </c>
      <c r="E66" s="9">
        <f t="shared" ref="E66:G66" si="11">((1+$E$65)*$G$39)-$G$44+E62</f>
        <v>13393214.224111628</v>
      </c>
      <c r="F66" s="9">
        <f t="shared" si="11"/>
        <v>13013949.348601973</v>
      </c>
      <c r="G66" s="9">
        <f t="shared" si="11"/>
        <v>12655819.990904972</v>
      </c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5.75" customHeight="1">
      <c r="A67" s="1"/>
      <c r="B67" s="2" t="s">
        <v>117</v>
      </c>
      <c r="C67" s="1"/>
      <c r="D67" s="11" t="s">
        <v>95</v>
      </c>
      <c r="E67" s="9">
        <f t="shared" ref="E67:G67" si="12">-E61-E63</f>
        <v>-4321442.0763618462</v>
      </c>
      <c r="F67" s="9">
        <f t="shared" si="12"/>
        <v>-2922059.0809981488</v>
      </c>
      <c r="G67" s="9">
        <f t="shared" si="12"/>
        <v>-1481258.8238985166</v>
      </c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5.75" customHeight="1">
      <c r="A68" s="1"/>
      <c r="B68" s="25" t="s">
        <v>118</v>
      </c>
      <c r="C68" s="26"/>
      <c r="D68" s="11" t="s">
        <v>95</v>
      </c>
      <c r="E68" s="9">
        <f t="shared" ref="E68:G68" si="13">E66+E61+E63</f>
        <v>17714656.300473474</v>
      </c>
      <c r="F68" s="9">
        <f t="shared" si="13"/>
        <v>15936008.42960012</v>
      </c>
      <c r="G68" s="9">
        <f t="shared" si="13"/>
        <v>14137078.814803489</v>
      </c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5.75" customHeight="1">
      <c r="A69" s="1"/>
      <c r="B69" s="2" t="s">
        <v>119</v>
      </c>
      <c r="C69" s="1"/>
      <c r="D69" s="11" t="s">
        <v>95</v>
      </c>
      <c r="E69" s="14">
        <f t="shared" ref="E69:F69" si="14">E68/E67</f>
        <v>-4.099246498610289</v>
      </c>
      <c r="F69" s="14">
        <f t="shared" si="14"/>
        <v>-5.4536913826384801</v>
      </c>
      <c r="G69" s="14">
        <f>G68/-(G61+G63)</f>
        <v>-9.5439625990521986</v>
      </c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5.75" customHeight="1">
      <c r="A70" s="1"/>
      <c r="B70" s="2" t="s">
        <v>120</v>
      </c>
      <c r="C70" s="1"/>
      <c r="D70" s="11" t="s">
        <v>95</v>
      </c>
      <c r="E70" s="15">
        <f t="shared" ref="E70:G70" si="15">(1+E69)^(1/5)-1</f>
        <v>-2.2538662820566198</v>
      </c>
      <c r="F70" s="15">
        <f t="shared" si="15"/>
        <v>-2.348168028979722</v>
      </c>
      <c r="G70" s="15">
        <f t="shared" si="15"/>
        <v>-2.5357901141440333</v>
      </c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5.75" customHeight="1">
      <c r="A71" s="1"/>
      <c r="B71" s="2" t="s">
        <v>121</v>
      </c>
      <c r="C71" s="1"/>
      <c r="D71" s="11" t="s">
        <v>95</v>
      </c>
      <c r="E71" s="15">
        <f t="shared" ref="E71:G71" si="16">((E55*12)/$C$20)/$E$33</f>
        <v>9.035872413481523E-2</v>
      </c>
      <c r="F71" s="15">
        <f t="shared" si="16"/>
        <v>9.035872413481523E-2</v>
      </c>
      <c r="G71" s="15">
        <f t="shared" si="16"/>
        <v>9.035872413481523E-2</v>
      </c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5.75" customHeight="1">
      <c r="A73" s="1"/>
      <c r="B73" s="27" t="s">
        <v>122</v>
      </c>
      <c r="C73" s="28"/>
      <c r="D73" s="28"/>
      <c r="E73" s="28"/>
      <c r="F73" s="28"/>
      <c r="G73" s="26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5.75" customHeight="1">
      <c r="A75" s="1"/>
      <c r="B75" s="1"/>
      <c r="C75" s="1"/>
      <c r="D75" s="1"/>
      <c r="E75" s="5"/>
      <c r="F75" s="5"/>
      <c r="G75" s="5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5.75" customHeight="1">
      <c r="A76" s="1"/>
      <c r="B76" s="1"/>
      <c r="C76" s="1"/>
      <c r="D76" s="1"/>
      <c r="E76" s="5"/>
      <c r="F76" s="5"/>
      <c r="G76" s="5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5.75" customHeight="1"/>
    <row r="275" spans="1:27" ht="15.75" customHeight="1"/>
    <row r="276" spans="1:27" ht="15.75" customHeight="1"/>
    <row r="277" spans="1:27" ht="15.75" customHeight="1"/>
    <row r="278" spans="1:27" ht="15.75" customHeight="1"/>
    <row r="279" spans="1:27" ht="15.75" customHeight="1"/>
    <row r="280" spans="1:27" ht="15.75" customHeight="1"/>
    <row r="281" spans="1:27" ht="15.75" customHeight="1"/>
    <row r="282" spans="1:27" ht="15.75" customHeight="1"/>
    <row r="283" spans="1:27" ht="15.75" customHeight="1"/>
    <row r="284" spans="1:27" ht="15.75" customHeight="1"/>
    <row r="285" spans="1:27" ht="15.75" customHeight="1"/>
    <row r="286" spans="1:27" ht="15.75" customHeight="1"/>
    <row r="287" spans="1:27" ht="15.75" customHeight="1"/>
    <row r="288" spans="1:27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5">
    <mergeCell ref="B1:G3"/>
    <mergeCell ref="B4:G4"/>
    <mergeCell ref="C6:D6"/>
    <mergeCell ref="F6:G6"/>
    <mergeCell ref="C7:D7"/>
    <mergeCell ref="F7:G7"/>
    <mergeCell ref="B8:G8"/>
    <mergeCell ref="B9:G10"/>
    <mergeCell ref="B11:G11"/>
    <mergeCell ref="C12:D12"/>
    <mergeCell ref="F12:G12"/>
    <mergeCell ref="F13:G13"/>
    <mergeCell ref="B15:G15"/>
    <mergeCell ref="B16:G16"/>
    <mergeCell ref="B22:G23"/>
    <mergeCell ref="B25:C25"/>
    <mergeCell ref="B26:C26"/>
    <mergeCell ref="B27:C27"/>
    <mergeCell ref="B28:C28"/>
    <mergeCell ref="B30:C30"/>
    <mergeCell ref="B31:C31"/>
    <mergeCell ref="B33:C33"/>
    <mergeCell ref="B34:C34"/>
    <mergeCell ref="B36:G37"/>
    <mergeCell ref="B39:C39"/>
    <mergeCell ref="B40:C40"/>
    <mergeCell ref="B41:C41"/>
    <mergeCell ref="B42:C42"/>
    <mergeCell ref="B44:C44"/>
    <mergeCell ref="B46:G47"/>
    <mergeCell ref="B48:C48"/>
    <mergeCell ref="B49:C49"/>
    <mergeCell ref="B50:C50"/>
    <mergeCell ref="B51:C51"/>
    <mergeCell ref="B53:G54"/>
    <mergeCell ref="B66:C66"/>
    <mergeCell ref="B68:C68"/>
    <mergeCell ref="B73:G73"/>
    <mergeCell ref="B55:C55"/>
    <mergeCell ref="B56:C56"/>
    <mergeCell ref="B57:C57"/>
    <mergeCell ref="B59:G60"/>
    <mergeCell ref="B61:C61"/>
    <mergeCell ref="B63:C63"/>
    <mergeCell ref="B65:C65"/>
  </mergeCells>
  <pageMargins left="0.7" right="0.7" top="0.75" bottom="0.75" header="0" footer="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AC1000"/>
  <sheetViews>
    <sheetView workbookViewId="0">
      <selection activeCell="B30" sqref="B30:M30"/>
    </sheetView>
  </sheetViews>
  <sheetFormatPr defaultColWidth="11.44140625" defaultRowHeight="15" customHeight="1"/>
  <cols>
    <col min="1" max="1" width="5" style="44" bestFit="1" customWidth="1"/>
    <col min="2" max="2" width="26" style="44" customWidth="1"/>
    <col min="3" max="13" width="13.6640625" style="44" customWidth="1"/>
    <col min="14" max="14" width="11.44140625" style="44"/>
    <col min="15" max="17" width="3.6640625" style="44" customWidth="1"/>
    <col min="18" max="18" width="42.33203125" style="44" bestFit="1" customWidth="1"/>
    <col min="19" max="22" width="3.6640625" style="44" customWidth="1"/>
    <col min="23" max="23" width="46.109375" style="44" bestFit="1" customWidth="1"/>
    <col min="24" max="24" width="3.5546875" style="44" customWidth="1"/>
    <col min="25" max="25" width="3.6640625" style="44" customWidth="1"/>
    <col min="26" max="26" width="11.44140625" style="44"/>
    <col min="27" max="27" width="20.33203125" style="44" bestFit="1" customWidth="1"/>
    <col min="28" max="28" width="33.6640625" style="44" bestFit="1" customWidth="1"/>
    <col min="29" max="29" width="10.6640625" style="44" bestFit="1" customWidth="1"/>
    <col min="30" max="16384" width="11.44140625" style="44"/>
  </cols>
  <sheetData>
    <row r="1" spans="1:29" ht="13.2">
      <c r="Q1" s="45" t="s">
        <v>133</v>
      </c>
      <c r="R1" s="45"/>
      <c r="S1" s="45"/>
      <c r="T1" s="45"/>
      <c r="U1" s="45"/>
      <c r="V1" s="45"/>
      <c r="W1" s="45"/>
    </row>
    <row r="2" spans="1:29" ht="13.8">
      <c r="A2" s="46"/>
      <c r="B2" s="47" t="s">
        <v>475</v>
      </c>
      <c r="Q2" s="45"/>
      <c r="R2" s="45"/>
      <c r="S2" s="45"/>
      <c r="T2" s="45"/>
      <c r="U2" s="45"/>
      <c r="V2" s="45"/>
      <c r="W2" s="45"/>
    </row>
    <row r="3" spans="1:29" ht="26.4">
      <c r="B3" s="48" t="s">
        <v>125</v>
      </c>
      <c r="C3" s="49" t="s">
        <v>126</v>
      </c>
      <c r="D3" s="50" t="s">
        <v>0</v>
      </c>
      <c r="E3" s="51" t="s">
        <v>134</v>
      </c>
      <c r="F3" s="52" t="s">
        <v>135</v>
      </c>
      <c r="G3" s="52" t="s">
        <v>136</v>
      </c>
      <c r="H3" s="51" t="s">
        <v>137</v>
      </c>
      <c r="I3" s="51" t="s">
        <v>138</v>
      </c>
      <c r="J3" s="51" t="s">
        <v>139</v>
      </c>
      <c r="K3" s="52" t="s">
        <v>140</v>
      </c>
      <c r="L3" s="51" t="s">
        <v>141</v>
      </c>
      <c r="M3" s="53" t="s">
        <v>142</v>
      </c>
      <c r="P3" s="54"/>
      <c r="Q3" s="55"/>
      <c r="R3" s="56"/>
      <c r="S3" s="57"/>
      <c r="T3" s="58"/>
      <c r="U3" s="54"/>
      <c r="V3" s="56"/>
      <c r="W3" s="56"/>
      <c r="X3" s="57"/>
      <c r="AA3" s="59" t="s">
        <v>125</v>
      </c>
      <c r="AB3" s="59" t="s">
        <v>143</v>
      </c>
      <c r="AC3" s="59" t="s">
        <v>144</v>
      </c>
    </row>
    <row r="4" spans="1:29" ht="15.6">
      <c r="A4" s="60" t="s">
        <v>156</v>
      </c>
      <c r="B4" s="61" t="s">
        <v>145</v>
      </c>
      <c r="C4" s="62">
        <v>2028</v>
      </c>
      <c r="D4" s="63" t="s">
        <v>19</v>
      </c>
      <c r="E4" s="64">
        <v>0.1</v>
      </c>
      <c r="F4" s="65"/>
      <c r="G4" s="66" t="s">
        <v>476</v>
      </c>
      <c r="H4" s="64">
        <v>0.02</v>
      </c>
      <c r="I4" s="67">
        <f t="shared" ref="I4:I8" si="0">20%-L4-H4</f>
        <v>0.08</v>
      </c>
      <c r="J4" s="68">
        <v>21</v>
      </c>
      <c r="K4" s="67" t="s">
        <v>146</v>
      </c>
      <c r="L4" s="67">
        <v>0.1</v>
      </c>
      <c r="M4" s="68" t="s">
        <v>147</v>
      </c>
      <c r="P4" s="69"/>
      <c r="Q4" s="70" t="s">
        <v>174</v>
      </c>
      <c r="R4" s="70"/>
      <c r="S4" s="71"/>
      <c r="T4" s="72"/>
      <c r="U4" s="73"/>
      <c r="V4" s="70" t="s">
        <v>175</v>
      </c>
      <c r="W4" s="70"/>
      <c r="X4" s="74"/>
      <c r="AA4" s="75" t="s">
        <v>20</v>
      </c>
      <c r="AB4" s="75" t="s">
        <v>190</v>
      </c>
      <c r="AC4" s="75" t="s">
        <v>191</v>
      </c>
    </row>
    <row r="5" spans="1:29" ht="13.8">
      <c r="A5" s="60" t="s">
        <v>156</v>
      </c>
      <c r="B5" s="61" t="s">
        <v>151</v>
      </c>
      <c r="C5" s="62">
        <v>2029</v>
      </c>
      <c r="D5" s="63" t="s">
        <v>19</v>
      </c>
      <c r="E5" s="64">
        <v>0.1</v>
      </c>
      <c r="F5" s="65"/>
      <c r="G5" s="66" t="s">
        <v>476</v>
      </c>
      <c r="H5" s="64">
        <v>0.02</v>
      </c>
      <c r="I5" s="67">
        <f t="shared" si="0"/>
        <v>0.08</v>
      </c>
      <c r="J5" s="68">
        <v>34</v>
      </c>
      <c r="K5" s="67" t="s">
        <v>146</v>
      </c>
      <c r="L5" s="67">
        <v>0.1</v>
      </c>
      <c r="M5" s="68" t="s">
        <v>147</v>
      </c>
      <c r="P5" s="69"/>
      <c r="Q5" s="76"/>
      <c r="S5" s="77"/>
      <c r="T5" s="58"/>
      <c r="U5" s="69"/>
      <c r="X5" s="78"/>
      <c r="AA5" s="75" t="s">
        <v>170</v>
      </c>
      <c r="AB5" s="75" t="s">
        <v>197</v>
      </c>
      <c r="AC5" s="75" t="s">
        <v>198</v>
      </c>
    </row>
    <row r="6" spans="1:29" ht="13.8">
      <c r="A6" s="60"/>
      <c r="B6" s="61" t="s">
        <v>38</v>
      </c>
      <c r="C6" s="62">
        <v>2028</v>
      </c>
      <c r="D6" s="63" t="s">
        <v>39</v>
      </c>
      <c r="E6" s="64">
        <v>0.1</v>
      </c>
      <c r="F6" s="79"/>
      <c r="G6" s="66" t="s">
        <v>476</v>
      </c>
      <c r="H6" s="67">
        <v>0.02</v>
      </c>
      <c r="I6" s="67">
        <f t="shared" si="0"/>
        <v>0.08</v>
      </c>
      <c r="J6" s="80">
        <v>21</v>
      </c>
      <c r="K6" s="67" t="s">
        <v>146</v>
      </c>
      <c r="L6" s="67">
        <v>0.1</v>
      </c>
      <c r="M6" s="80" t="s">
        <v>147</v>
      </c>
      <c r="P6" s="69"/>
      <c r="Q6" s="76">
        <v>1</v>
      </c>
      <c r="R6" s="44" t="s">
        <v>152</v>
      </c>
      <c r="S6" s="77"/>
      <c r="T6" s="58"/>
      <c r="U6" s="69"/>
      <c r="V6" s="76">
        <v>1</v>
      </c>
      <c r="W6" s="44" t="s">
        <v>152</v>
      </c>
      <c r="X6" s="78"/>
      <c r="AA6" s="75" t="s">
        <v>159</v>
      </c>
      <c r="AB6" s="75" t="s">
        <v>160</v>
      </c>
      <c r="AC6" s="75" t="s">
        <v>161</v>
      </c>
    </row>
    <row r="7" spans="1:29" ht="14.4">
      <c r="A7" s="60" t="s">
        <v>156</v>
      </c>
      <c r="B7" s="61" t="s">
        <v>23</v>
      </c>
      <c r="C7" s="62">
        <v>2029</v>
      </c>
      <c r="D7" s="63" t="s">
        <v>36</v>
      </c>
      <c r="E7" s="81">
        <v>0.15</v>
      </c>
      <c r="F7" s="79"/>
      <c r="G7" s="66">
        <v>500000</v>
      </c>
      <c r="H7" s="81">
        <v>0.01</v>
      </c>
      <c r="I7" s="67">
        <f t="shared" si="0"/>
        <v>9.0000000000000011E-2</v>
      </c>
      <c r="J7" s="68">
        <v>35</v>
      </c>
      <c r="K7" s="67" t="s">
        <v>146</v>
      </c>
      <c r="L7" s="67">
        <v>0.1</v>
      </c>
      <c r="M7" s="68" t="s">
        <v>147</v>
      </c>
      <c r="P7" s="69"/>
      <c r="Q7" s="76">
        <v>2</v>
      </c>
      <c r="R7" s="82" t="s">
        <v>157</v>
      </c>
      <c r="S7" s="77"/>
      <c r="T7" s="58"/>
      <c r="U7" s="69"/>
      <c r="V7" s="76">
        <v>2</v>
      </c>
      <c r="W7" s="44" t="s">
        <v>158</v>
      </c>
      <c r="X7" s="78"/>
      <c r="AA7" s="75" t="s">
        <v>163</v>
      </c>
      <c r="AB7" s="75" t="s">
        <v>164</v>
      </c>
      <c r="AC7" s="75" t="s">
        <v>165</v>
      </c>
    </row>
    <row r="8" spans="1:29" ht="14.4">
      <c r="A8" s="60" t="s">
        <v>156</v>
      </c>
      <c r="B8" s="61" t="s">
        <v>166</v>
      </c>
      <c r="C8" s="62">
        <v>2029</v>
      </c>
      <c r="D8" s="63" t="s">
        <v>15</v>
      </c>
      <c r="E8" s="64">
        <v>0.1</v>
      </c>
      <c r="F8" s="65" t="s">
        <v>477</v>
      </c>
      <c r="G8" s="83" t="s">
        <v>476</v>
      </c>
      <c r="H8" s="64">
        <v>0.02</v>
      </c>
      <c r="I8" s="64">
        <f t="shared" si="0"/>
        <v>0.08</v>
      </c>
      <c r="J8" s="68">
        <v>34</v>
      </c>
      <c r="K8" s="64" t="s">
        <v>146</v>
      </c>
      <c r="L8" s="64">
        <v>0.1</v>
      </c>
      <c r="M8" s="68" t="s">
        <v>147</v>
      </c>
      <c r="P8" s="69"/>
      <c r="Q8" s="76">
        <v>3</v>
      </c>
      <c r="R8" s="44" t="s">
        <v>162</v>
      </c>
      <c r="S8" s="77"/>
      <c r="T8" s="58"/>
      <c r="U8" s="69"/>
      <c r="V8" s="76">
        <v>3</v>
      </c>
      <c r="W8" s="82" t="s">
        <v>157</v>
      </c>
      <c r="X8" s="78"/>
      <c r="AA8" s="75" t="s">
        <v>23</v>
      </c>
      <c r="AB8" s="75" t="s">
        <v>205</v>
      </c>
      <c r="AC8" s="75" t="s">
        <v>206</v>
      </c>
    </row>
    <row r="9" spans="1:29" ht="14.4" thickBot="1">
      <c r="A9" s="60"/>
      <c r="B9" s="84" t="s">
        <v>478</v>
      </c>
      <c r="C9" s="85">
        <v>2029</v>
      </c>
      <c r="D9" s="86" t="s">
        <v>479</v>
      </c>
      <c r="E9" s="87">
        <v>0.15</v>
      </c>
      <c r="F9" s="88"/>
      <c r="G9" s="89">
        <v>500000</v>
      </c>
      <c r="H9" s="87">
        <v>0.01</v>
      </c>
      <c r="I9" s="90">
        <f>20%-L9-H9</f>
        <v>9.0000000000000011E-2</v>
      </c>
      <c r="J9" s="91">
        <v>36</v>
      </c>
      <c r="K9" s="90" t="s">
        <v>146</v>
      </c>
      <c r="L9" s="90">
        <v>0.1</v>
      </c>
      <c r="M9" s="91" t="s">
        <v>147</v>
      </c>
      <c r="P9" s="69"/>
      <c r="Q9" s="76">
        <v>4</v>
      </c>
      <c r="R9" s="44" t="s">
        <v>167</v>
      </c>
      <c r="S9" s="77"/>
      <c r="T9" s="58"/>
      <c r="U9" s="69"/>
      <c r="V9" s="76">
        <v>4</v>
      </c>
      <c r="W9" s="44" t="s">
        <v>168</v>
      </c>
      <c r="X9" s="78"/>
      <c r="AA9" s="75" t="s">
        <v>153</v>
      </c>
      <c r="AB9" s="75" t="s">
        <v>154</v>
      </c>
      <c r="AC9" s="75" t="s">
        <v>155</v>
      </c>
    </row>
    <row r="10" spans="1:29" ht="15.6" thickTop="1" thickBot="1">
      <c r="A10" s="60"/>
      <c r="B10" s="92" t="s">
        <v>178</v>
      </c>
      <c r="C10" s="92" t="s">
        <v>171</v>
      </c>
      <c r="D10" s="93" t="s">
        <v>13</v>
      </c>
      <c r="E10" s="94">
        <v>0.13</v>
      </c>
      <c r="F10" s="95"/>
      <c r="G10" s="95" t="s">
        <v>480</v>
      </c>
      <c r="H10" s="96">
        <v>0.02</v>
      </c>
      <c r="I10" s="96">
        <f t="shared" ref="I10" si="1">20%-L10-H10</f>
        <v>3.0000000000000016E-2</v>
      </c>
      <c r="J10" s="97">
        <v>3</v>
      </c>
      <c r="K10" s="96" t="s">
        <v>146</v>
      </c>
      <c r="L10" s="98">
        <v>0.15</v>
      </c>
      <c r="M10" s="99" t="s">
        <v>481</v>
      </c>
      <c r="P10" s="69"/>
      <c r="Q10" s="76">
        <v>5</v>
      </c>
      <c r="R10" s="44" t="s">
        <v>179</v>
      </c>
      <c r="S10" s="100"/>
      <c r="T10" s="58"/>
      <c r="U10" s="69"/>
      <c r="V10" s="76">
        <v>5</v>
      </c>
      <c r="W10" s="44" t="s">
        <v>167</v>
      </c>
      <c r="X10" s="78"/>
      <c r="AA10" s="75" t="s">
        <v>169</v>
      </c>
      <c r="AB10" s="75" t="s">
        <v>164</v>
      </c>
      <c r="AC10" s="75" t="s">
        <v>165</v>
      </c>
    </row>
    <row r="11" spans="1:29" thickTop="1">
      <c r="A11" s="101"/>
      <c r="B11" s="102" t="s">
        <v>170</v>
      </c>
      <c r="C11" s="103" t="s">
        <v>27</v>
      </c>
      <c r="D11" s="103" t="s">
        <v>22</v>
      </c>
      <c r="E11" s="104">
        <v>0.1</v>
      </c>
      <c r="F11" s="105" t="s">
        <v>172</v>
      </c>
      <c r="G11" s="106" t="s">
        <v>480</v>
      </c>
      <c r="H11" s="104"/>
      <c r="I11" s="104">
        <v>0.1</v>
      </c>
      <c r="J11" s="107">
        <v>60</v>
      </c>
      <c r="K11" s="104"/>
      <c r="L11" s="104">
        <v>0.1</v>
      </c>
      <c r="M11" s="105" t="s">
        <v>481</v>
      </c>
      <c r="P11" s="69"/>
      <c r="Q11" s="76">
        <v>6</v>
      </c>
      <c r="R11" s="44" t="s">
        <v>180</v>
      </c>
      <c r="S11" s="100"/>
      <c r="T11" s="58"/>
      <c r="U11" s="69"/>
      <c r="V11" s="76">
        <v>6</v>
      </c>
      <c r="W11" s="44" t="s">
        <v>181</v>
      </c>
      <c r="X11" s="78"/>
      <c r="AA11" s="75" t="s">
        <v>178</v>
      </c>
      <c r="AB11" s="75" t="s">
        <v>202</v>
      </c>
      <c r="AC11" s="75" t="s">
        <v>203</v>
      </c>
    </row>
    <row r="12" spans="1:29" ht="14.4">
      <c r="A12" s="60" t="s">
        <v>156</v>
      </c>
      <c r="B12" s="61" t="s">
        <v>163</v>
      </c>
      <c r="C12" s="62" t="s">
        <v>27</v>
      </c>
      <c r="D12" s="63" t="s">
        <v>35</v>
      </c>
      <c r="E12" s="108">
        <v>0.1</v>
      </c>
      <c r="F12" s="109"/>
      <c r="G12" s="110" t="s">
        <v>480</v>
      </c>
      <c r="H12" s="111"/>
      <c r="I12" s="112">
        <v>0.1</v>
      </c>
      <c r="J12" s="111">
        <v>60</v>
      </c>
      <c r="K12" s="111"/>
      <c r="L12" s="112">
        <v>0.1</v>
      </c>
      <c r="M12" s="111" t="s">
        <v>173</v>
      </c>
      <c r="P12" s="69"/>
      <c r="Q12" s="76">
        <v>7</v>
      </c>
      <c r="R12" s="44" t="s">
        <v>183</v>
      </c>
      <c r="S12" s="100"/>
      <c r="T12" s="58"/>
      <c r="U12" s="69"/>
      <c r="V12" s="76">
        <v>7</v>
      </c>
      <c r="W12" s="82" t="s">
        <v>184</v>
      </c>
      <c r="X12" s="78"/>
      <c r="AA12" s="75" t="s">
        <v>12</v>
      </c>
      <c r="AB12" s="75" t="s">
        <v>164</v>
      </c>
      <c r="AC12" s="75" t="s">
        <v>165</v>
      </c>
    </row>
    <row r="13" spans="1:29" ht="14.4">
      <c r="A13" s="60"/>
      <c r="B13" s="61" t="s">
        <v>153</v>
      </c>
      <c r="C13" s="62" t="s">
        <v>27</v>
      </c>
      <c r="D13" s="62" t="s">
        <v>2</v>
      </c>
      <c r="E13" s="113">
        <v>0.13</v>
      </c>
      <c r="F13" s="110"/>
      <c r="G13" s="110" t="s">
        <v>480</v>
      </c>
      <c r="H13" s="111"/>
      <c r="I13" s="112">
        <v>0.1</v>
      </c>
      <c r="J13" s="111">
        <v>60</v>
      </c>
      <c r="K13" s="111"/>
      <c r="L13" s="112">
        <v>0.1</v>
      </c>
      <c r="M13" s="111" t="s">
        <v>173</v>
      </c>
      <c r="P13" s="69"/>
      <c r="Q13" s="76">
        <v>8</v>
      </c>
      <c r="R13" s="82" t="s">
        <v>185</v>
      </c>
      <c r="S13" s="77"/>
      <c r="T13" s="58"/>
      <c r="U13" s="69"/>
      <c r="V13" s="76">
        <v>8</v>
      </c>
      <c r="W13" s="82" t="s">
        <v>185</v>
      </c>
      <c r="X13" s="78"/>
      <c r="AA13" s="75" t="s">
        <v>21</v>
      </c>
      <c r="AB13" s="75" t="s">
        <v>190</v>
      </c>
      <c r="AC13" s="75" t="s">
        <v>191</v>
      </c>
    </row>
    <row r="14" spans="1:29" ht="14.4">
      <c r="A14" s="60" t="s">
        <v>156</v>
      </c>
      <c r="B14" s="61" t="s">
        <v>169</v>
      </c>
      <c r="C14" s="62" t="s">
        <v>27</v>
      </c>
      <c r="D14" s="62" t="s">
        <v>8</v>
      </c>
      <c r="E14" s="108">
        <v>0.1</v>
      </c>
      <c r="F14" s="109" t="s">
        <v>482</v>
      </c>
      <c r="G14" s="110" t="s">
        <v>480</v>
      </c>
      <c r="H14" s="111"/>
      <c r="I14" s="112">
        <v>0.1</v>
      </c>
      <c r="J14" s="111">
        <v>60</v>
      </c>
      <c r="K14" s="111"/>
      <c r="L14" s="112">
        <v>0.1</v>
      </c>
      <c r="M14" s="111" t="s">
        <v>173</v>
      </c>
      <c r="P14" s="69"/>
      <c r="Q14" s="76">
        <v>9</v>
      </c>
      <c r="R14" s="82" t="s">
        <v>189</v>
      </c>
      <c r="S14" s="77"/>
      <c r="T14" s="58"/>
      <c r="U14" s="69"/>
      <c r="V14" s="76">
        <v>9</v>
      </c>
      <c r="W14" s="82" t="s">
        <v>189</v>
      </c>
      <c r="X14" s="78"/>
      <c r="AA14" s="75" t="s">
        <v>195</v>
      </c>
      <c r="AB14" s="75" t="s">
        <v>190</v>
      </c>
      <c r="AC14" s="75" t="s">
        <v>191</v>
      </c>
    </row>
    <row r="15" spans="1:29" ht="14.4">
      <c r="A15" s="60" t="s">
        <v>156</v>
      </c>
      <c r="B15" s="61" t="s">
        <v>12</v>
      </c>
      <c r="C15" s="62" t="s">
        <v>27</v>
      </c>
      <c r="D15" s="62" t="s">
        <v>13</v>
      </c>
      <c r="E15" s="113">
        <v>0.13</v>
      </c>
      <c r="F15" s="110"/>
      <c r="G15" s="109" t="s">
        <v>480</v>
      </c>
      <c r="H15" s="111"/>
      <c r="I15" s="112">
        <v>0.1</v>
      </c>
      <c r="J15" s="111">
        <v>60</v>
      </c>
      <c r="K15" s="111"/>
      <c r="L15" s="112">
        <v>0.1</v>
      </c>
      <c r="M15" s="111" t="s">
        <v>173</v>
      </c>
      <c r="P15" s="69"/>
      <c r="Q15" s="76">
        <v>10</v>
      </c>
      <c r="R15" s="82" t="s">
        <v>192</v>
      </c>
      <c r="S15" s="77"/>
      <c r="T15" s="58"/>
      <c r="U15" s="69"/>
      <c r="V15" s="76">
        <v>10</v>
      </c>
      <c r="W15" s="82" t="s">
        <v>192</v>
      </c>
      <c r="X15" s="78"/>
      <c r="AA15" s="75" t="s">
        <v>182</v>
      </c>
      <c r="AB15" s="75" t="s">
        <v>164</v>
      </c>
      <c r="AC15" s="75" t="s">
        <v>165</v>
      </c>
    </row>
    <row r="16" spans="1:29" ht="13.8">
      <c r="A16" s="101"/>
      <c r="B16" s="61" t="s">
        <v>21</v>
      </c>
      <c r="C16" s="62" t="s">
        <v>27</v>
      </c>
      <c r="D16" s="62" t="s">
        <v>3</v>
      </c>
      <c r="E16" s="108">
        <v>0.1</v>
      </c>
      <c r="F16" s="109"/>
      <c r="G16" s="109" t="s">
        <v>480</v>
      </c>
      <c r="H16" s="111"/>
      <c r="I16" s="112">
        <v>0.1</v>
      </c>
      <c r="J16" s="111">
        <v>60</v>
      </c>
      <c r="K16" s="111"/>
      <c r="L16" s="112">
        <v>0.1</v>
      </c>
      <c r="M16" s="111" t="s">
        <v>173</v>
      </c>
      <c r="P16" s="69"/>
      <c r="Q16" s="76">
        <v>11</v>
      </c>
      <c r="R16" s="44" t="s">
        <v>193</v>
      </c>
      <c r="S16" s="77"/>
      <c r="T16" s="58"/>
      <c r="U16" s="69"/>
      <c r="V16" s="76">
        <v>11</v>
      </c>
      <c r="W16" s="44" t="s">
        <v>194</v>
      </c>
      <c r="X16" s="78"/>
      <c r="AA16" s="75" t="s">
        <v>38</v>
      </c>
      <c r="AB16" s="75" t="s">
        <v>176</v>
      </c>
      <c r="AC16" s="75" t="s">
        <v>177</v>
      </c>
    </row>
    <row r="17" spans="1:29" ht="13.8">
      <c r="A17" s="101"/>
      <c r="B17" s="114" t="s">
        <v>195</v>
      </c>
      <c r="C17" s="62" t="s">
        <v>27</v>
      </c>
      <c r="D17" s="62" t="s">
        <v>3</v>
      </c>
      <c r="E17" s="108">
        <v>0.1</v>
      </c>
      <c r="F17" s="109"/>
      <c r="G17" s="109" t="s">
        <v>480</v>
      </c>
      <c r="H17" s="111"/>
      <c r="I17" s="112">
        <v>0.1</v>
      </c>
      <c r="J17" s="111">
        <v>60</v>
      </c>
      <c r="K17" s="111"/>
      <c r="L17" s="112">
        <v>0.1</v>
      </c>
      <c r="M17" s="111" t="s">
        <v>173</v>
      </c>
      <c r="P17" s="69"/>
      <c r="Q17" s="76">
        <v>12</v>
      </c>
      <c r="R17" s="44" t="s">
        <v>194</v>
      </c>
      <c r="S17" s="77"/>
      <c r="T17" s="58"/>
      <c r="U17" s="69"/>
      <c r="V17" s="76">
        <v>12</v>
      </c>
      <c r="W17" s="44" t="s">
        <v>196</v>
      </c>
      <c r="X17" s="78"/>
      <c r="AA17" s="75" t="s">
        <v>18</v>
      </c>
      <c r="AB17" s="75" t="s">
        <v>164</v>
      </c>
      <c r="AC17" s="75" t="s">
        <v>165</v>
      </c>
    </row>
    <row r="18" spans="1:29" ht="13.8">
      <c r="A18" s="60" t="s">
        <v>156</v>
      </c>
      <c r="B18" s="114" t="s">
        <v>182</v>
      </c>
      <c r="C18" s="115" t="s">
        <v>27</v>
      </c>
      <c r="D18" s="115" t="s">
        <v>37</v>
      </c>
      <c r="E18" s="112">
        <v>0.1</v>
      </c>
      <c r="F18" s="116" t="s">
        <v>199</v>
      </c>
      <c r="G18" s="109" t="s">
        <v>480</v>
      </c>
      <c r="H18" s="117"/>
      <c r="I18" s="112">
        <v>0.1</v>
      </c>
      <c r="J18" s="111">
        <v>60</v>
      </c>
      <c r="K18" s="117"/>
      <c r="L18" s="112">
        <v>0.1</v>
      </c>
      <c r="M18" s="117" t="s">
        <v>173</v>
      </c>
      <c r="P18" s="118"/>
      <c r="Q18" s="119"/>
      <c r="R18" s="119"/>
      <c r="S18" s="120"/>
      <c r="U18" s="118"/>
      <c r="V18" s="119"/>
      <c r="W18" s="119"/>
      <c r="X18" s="121"/>
      <c r="AA18" s="75" t="s">
        <v>186</v>
      </c>
      <c r="AB18" s="75" t="s">
        <v>187</v>
      </c>
      <c r="AC18" s="75" t="s">
        <v>188</v>
      </c>
    </row>
    <row r="19" spans="1:29" ht="13.8">
      <c r="A19" s="101"/>
      <c r="B19" s="61" t="s">
        <v>18</v>
      </c>
      <c r="C19" s="62" t="s">
        <v>27</v>
      </c>
      <c r="D19" s="62" t="s">
        <v>3</v>
      </c>
      <c r="E19" s="108">
        <v>0.1</v>
      </c>
      <c r="F19" s="110"/>
      <c r="G19" s="109" t="s">
        <v>480</v>
      </c>
      <c r="H19" s="111"/>
      <c r="I19" s="112">
        <v>0.1</v>
      </c>
      <c r="J19" s="111">
        <v>60</v>
      </c>
      <c r="K19" s="111"/>
      <c r="L19" s="112">
        <v>0.1</v>
      </c>
      <c r="M19" s="111" t="s">
        <v>173</v>
      </c>
      <c r="X19" s="58"/>
      <c r="AA19" s="75" t="s">
        <v>151</v>
      </c>
      <c r="AB19" s="75" t="s">
        <v>205</v>
      </c>
      <c r="AC19" s="75" t="s">
        <v>206</v>
      </c>
    </row>
    <row r="20" spans="1:29" ht="13.8">
      <c r="A20" s="60"/>
      <c r="B20" s="61" t="s">
        <v>186</v>
      </c>
      <c r="C20" s="62" t="s">
        <v>27</v>
      </c>
      <c r="D20" s="62" t="s">
        <v>16</v>
      </c>
      <c r="E20" s="113">
        <v>0.12</v>
      </c>
      <c r="F20" s="122"/>
      <c r="G20" s="109" t="s">
        <v>480</v>
      </c>
      <c r="H20" s="117"/>
      <c r="I20" s="112">
        <v>0.1</v>
      </c>
      <c r="J20" s="111">
        <v>60</v>
      </c>
      <c r="K20" s="117"/>
      <c r="L20" s="112">
        <v>0.1</v>
      </c>
      <c r="M20" s="117" t="s">
        <v>173</v>
      </c>
      <c r="R20" s="123" t="s">
        <v>204</v>
      </c>
      <c r="AA20" s="75" t="s">
        <v>145</v>
      </c>
      <c r="AB20" s="75" t="s">
        <v>205</v>
      </c>
      <c r="AC20" s="75" t="s">
        <v>206</v>
      </c>
    </row>
    <row r="21" spans="1:29" ht="15" customHeight="1">
      <c r="A21" s="60" t="s">
        <v>156</v>
      </c>
      <c r="B21" s="61" t="s">
        <v>148</v>
      </c>
      <c r="C21" s="62" t="s">
        <v>27</v>
      </c>
      <c r="D21" s="63" t="s">
        <v>39</v>
      </c>
      <c r="E21" s="108">
        <v>0.1</v>
      </c>
      <c r="F21" s="116" t="s">
        <v>207</v>
      </c>
      <c r="G21" s="109" t="s">
        <v>480</v>
      </c>
      <c r="H21" s="117"/>
      <c r="I21" s="112">
        <v>0.1</v>
      </c>
      <c r="J21" s="111">
        <v>60</v>
      </c>
      <c r="K21" s="117"/>
      <c r="L21" s="112">
        <v>0.1</v>
      </c>
      <c r="M21" s="111" t="s">
        <v>173</v>
      </c>
      <c r="R21" s="124" t="s">
        <v>208</v>
      </c>
      <c r="AA21" s="75" t="s">
        <v>148</v>
      </c>
      <c r="AB21" s="75" t="s">
        <v>149</v>
      </c>
      <c r="AC21" s="75" t="s">
        <v>150</v>
      </c>
    </row>
    <row r="22" spans="1:29" ht="15" customHeight="1">
      <c r="N22" s="125"/>
      <c r="AA22" s="75" t="s">
        <v>166</v>
      </c>
      <c r="AB22" s="75" t="s">
        <v>200</v>
      </c>
      <c r="AC22" s="75" t="s">
        <v>201</v>
      </c>
    </row>
    <row r="23" spans="1:29" ht="13.8">
      <c r="B23" s="126" t="s">
        <v>483</v>
      </c>
      <c r="C23" s="126"/>
      <c r="D23" s="126"/>
      <c r="E23" s="126"/>
      <c r="F23" s="126"/>
      <c r="G23" s="126"/>
      <c r="H23" s="126"/>
      <c r="I23" s="126"/>
      <c r="J23" s="126"/>
      <c r="K23" s="126"/>
      <c r="L23" s="126"/>
      <c r="M23" s="126"/>
      <c r="N23" s="125"/>
      <c r="R23" s="123" t="s">
        <v>209</v>
      </c>
      <c r="V23" s="127" t="s">
        <v>210</v>
      </c>
    </row>
    <row r="24" spans="1:29" ht="13.2">
      <c r="B24" s="128" t="s">
        <v>484</v>
      </c>
      <c r="C24" s="128"/>
      <c r="D24" s="128"/>
      <c r="E24" s="128"/>
      <c r="F24" s="128"/>
      <c r="G24" s="128"/>
      <c r="H24" s="128"/>
      <c r="I24" s="128"/>
      <c r="J24" s="128"/>
      <c r="K24" s="128"/>
      <c r="L24" s="128"/>
      <c r="M24" s="128"/>
      <c r="R24" s="124" t="s">
        <v>211</v>
      </c>
      <c r="V24" s="124" t="s">
        <v>212</v>
      </c>
    </row>
    <row r="25" spans="1:29" ht="13.2">
      <c r="B25" s="128" t="s">
        <v>485</v>
      </c>
      <c r="C25" s="128"/>
      <c r="D25" s="128"/>
      <c r="E25" s="128"/>
      <c r="F25" s="128"/>
      <c r="G25" s="128"/>
      <c r="H25" s="128"/>
      <c r="I25" s="128"/>
      <c r="J25" s="128"/>
      <c r="K25" s="128"/>
      <c r="L25" s="128"/>
      <c r="M25" s="128"/>
      <c r="V25" s="129"/>
      <c r="W25" s="129"/>
    </row>
    <row r="26" spans="1:29" ht="13.8">
      <c r="B26" s="128" t="s">
        <v>486</v>
      </c>
      <c r="C26" s="128"/>
      <c r="D26" s="128"/>
      <c r="E26" s="128"/>
      <c r="F26" s="128"/>
      <c r="G26" s="128"/>
      <c r="H26" s="128"/>
      <c r="I26" s="128"/>
      <c r="J26" s="128"/>
      <c r="K26" s="128"/>
      <c r="L26" s="128"/>
      <c r="M26" s="128"/>
      <c r="N26" s="130"/>
      <c r="R26" s="123" t="s">
        <v>213</v>
      </c>
      <c r="V26" s="123" t="s">
        <v>214</v>
      </c>
    </row>
    <row r="27" spans="1:29" ht="13.8">
      <c r="B27" s="128" t="s">
        <v>487</v>
      </c>
      <c r="C27" s="128"/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30"/>
      <c r="R27" s="44" t="s">
        <v>215</v>
      </c>
      <c r="V27" s="44" t="s">
        <v>488</v>
      </c>
    </row>
    <row r="28" spans="1:29" ht="13.2">
      <c r="B28" s="128" t="s">
        <v>489</v>
      </c>
      <c r="C28" s="128"/>
      <c r="D28" s="128"/>
      <c r="E28" s="128"/>
      <c r="F28" s="128"/>
      <c r="G28" s="128"/>
      <c r="H28" s="128"/>
      <c r="I28" s="128"/>
      <c r="J28" s="128"/>
      <c r="K28" s="128"/>
      <c r="L28" s="128"/>
      <c r="M28" s="128"/>
      <c r="N28" s="130"/>
      <c r="R28" s="44" t="s">
        <v>216</v>
      </c>
      <c r="V28" s="44" t="s">
        <v>217</v>
      </c>
    </row>
    <row r="29" spans="1:29" ht="13.2">
      <c r="B29" s="128" t="s">
        <v>490</v>
      </c>
      <c r="C29" s="128"/>
      <c r="D29" s="128"/>
      <c r="E29" s="128"/>
      <c r="F29" s="128"/>
      <c r="G29" s="128"/>
      <c r="H29" s="128"/>
      <c r="I29" s="128"/>
      <c r="J29" s="128"/>
      <c r="K29" s="128"/>
      <c r="L29" s="128"/>
      <c r="M29" s="128"/>
      <c r="R29" s="44" t="s">
        <v>218</v>
      </c>
      <c r="V29" s="44" t="s">
        <v>219</v>
      </c>
    </row>
    <row r="30" spans="1:29" ht="13.2">
      <c r="B30" s="131" t="s">
        <v>491</v>
      </c>
      <c r="C30" s="131"/>
      <c r="D30" s="131"/>
      <c r="E30" s="131"/>
      <c r="F30" s="131"/>
      <c r="G30" s="131"/>
      <c r="H30" s="131"/>
      <c r="I30" s="131"/>
      <c r="J30" s="131"/>
      <c r="K30" s="131"/>
      <c r="L30" s="131"/>
      <c r="M30" s="131"/>
      <c r="R30" s="44" t="s">
        <v>220</v>
      </c>
      <c r="W30" s="44" t="s">
        <v>221</v>
      </c>
    </row>
    <row r="31" spans="1:29" ht="13.2">
      <c r="B31" s="131" t="s">
        <v>492</v>
      </c>
      <c r="C31" s="131"/>
      <c r="D31" s="131"/>
      <c r="E31" s="131"/>
      <c r="F31" s="131"/>
      <c r="G31" s="131"/>
      <c r="H31" s="131"/>
      <c r="I31" s="131"/>
      <c r="J31" s="131"/>
      <c r="K31" s="131"/>
      <c r="L31" s="131"/>
      <c r="M31" s="131"/>
      <c r="R31" s="124" t="s">
        <v>222</v>
      </c>
      <c r="W31" s="44" t="s">
        <v>223</v>
      </c>
    </row>
    <row r="32" spans="1:29" ht="13.2">
      <c r="B32" s="131" t="s">
        <v>493</v>
      </c>
      <c r="C32" s="131"/>
      <c r="D32" s="131"/>
      <c r="E32" s="131"/>
      <c r="F32" s="131"/>
      <c r="G32" s="131"/>
      <c r="H32" s="131"/>
      <c r="I32" s="131"/>
      <c r="J32" s="131"/>
      <c r="K32" s="131"/>
      <c r="L32" s="131"/>
      <c r="M32" s="131"/>
    </row>
    <row r="33" spans="2:13" ht="13.2">
      <c r="B33" s="128" t="s">
        <v>494</v>
      </c>
      <c r="C33" s="128"/>
      <c r="D33" s="128"/>
      <c r="E33" s="128"/>
      <c r="F33" s="128"/>
      <c r="G33" s="128"/>
      <c r="H33" s="128"/>
      <c r="I33" s="128"/>
      <c r="J33" s="128"/>
      <c r="K33" s="128"/>
      <c r="L33" s="128"/>
      <c r="M33" s="128"/>
    </row>
    <row r="34" spans="2:13" ht="13.2">
      <c r="B34" s="132"/>
      <c r="C34" s="132"/>
      <c r="D34" s="132"/>
      <c r="E34" s="132"/>
      <c r="F34" s="132"/>
      <c r="G34" s="132"/>
      <c r="H34" s="132"/>
      <c r="I34" s="132"/>
      <c r="J34" s="132"/>
      <c r="K34" s="132"/>
      <c r="L34" s="132"/>
      <c r="M34" s="132"/>
    </row>
    <row r="35" spans="2:13" ht="13.8">
      <c r="B35" s="133" t="s">
        <v>224</v>
      </c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</row>
    <row r="36" spans="2:13" ht="13.2">
      <c r="B36" s="44" t="s">
        <v>225</v>
      </c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</row>
    <row r="37" spans="2:13" ht="13.2"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</row>
    <row r="38" spans="2:13" ht="13.8">
      <c r="B38" s="134" t="s">
        <v>495</v>
      </c>
      <c r="C38" s="134"/>
      <c r="D38" s="134"/>
      <c r="E38" s="134"/>
      <c r="F38" s="134"/>
      <c r="G38" s="134"/>
      <c r="H38" s="134"/>
      <c r="I38" s="134"/>
      <c r="J38" s="134"/>
      <c r="K38" s="134"/>
      <c r="L38" s="134"/>
      <c r="M38" s="134"/>
    </row>
    <row r="39" spans="2:13" ht="13.2">
      <c r="B39" s="135"/>
    </row>
    <row r="40" spans="2:13" ht="13.8">
      <c r="B40" s="136" t="s">
        <v>125</v>
      </c>
      <c r="C40" s="72" t="s">
        <v>496</v>
      </c>
      <c r="D40" s="137" t="s">
        <v>497</v>
      </c>
    </row>
    <row r="41" spans="2:13" ht="13.8">
      <c r="B41" s="138" t="s">
        <v>18</v>
      </c>
      <c r="C41" s="139">
        <v>44561</v>
      </c>
      <c r="D41" s="76" t="str">
        <f ca="1">+IF(E41&gt;2,"0,8%","0,2%")</f>
        <v>0,8%</v>
      </c>
      <c r="E41" s="140">
        <f ca="1">DAYS360(C41,TODAY())/30/12</f>
        <v>4.3305555555555557</v>
      </c>
    </row>
    <row r="42" spans="2:13" ht="13.8">
      <c r="B42" s="138" t="s">
        <v>186</v>
      </c>
      <c r="C42" s="139">
        <v>44818</v>
      </c>
      <c r="D42" s="76" t="str">
        <f t="shared" ref="D42:D51" ca="1" si="2">+IF(E42&gt;2,"0,8%","0,2%")</f>
        <v>0,8%</v>
      </c>
      <c r="E42" s="140">
        <f t="shared" ref="E42:E51" ca="1" si="3">DAYS360(C42,TODAY())/30/12</f>
        <v>3.625</v>
      </c>
    </row>
    <row r="43" spans="2:13" ht="13.8">
      <c r="B43" s="138" t="s">
        <v>153</v>
      </c>
      <c r="C43" s="139">
        <v>44972</v>
      </c>
      <c r="D43" s="76" t="str">
        <f t="shared" ca="1" si="2"/>
        <v>0,8%</v>
      </c>
      <c r="E43" s="140">
        <f t="shared" ca="1" si="3"/>
        <v>3.2055555555555557</v>
      </c>
    </row>
    <row r="44" spans="2:13" ht="13.8">
      <c r="B44" s="138" t="s">
        <v>182</v>
      </c>
      <c r="C44" s="139">
        <v>44981</v>
      </c>
      <c r="D44" s="76" t="str">
        <f t="shared" ca="1" si="2"/>
        <v>0,8%</v>
      </c>
      <c r="E44" s="140">
        <f t="shared" ca="1" si="3"/>
        <v>3.1805555555555554</v>
      </c>
    </row>
    <row r="45" spans="2:13" ht="13.8">
      <c r="B45" s="138" t="s">
        <v>21</v>
      </c>
      <c r="C45" s="139">
        <v>45019</v>
      </c>
      <c r="D45" s="76" t="str">
        <f t="shared" ca="1" si="2"/>
        <v>0,8%</v>
      </c>
      <c r="E45" s="140">
        <f t="shared" ca="1" si="3"/>
        <v>3.0722222222222224</v>
      </c>
    </row>
    <row r="46" spans="2:13" ht="13.8">
      <c r="B46" s="138" t="s">
        <v>195</v>
      </c>
      <c r="C46" s="139">
        <v>45019</v>
      </c>
      <c r="D46" s="76" t="str">
        <f t="shared" ca="1" si="2"/>
        <v>0,8%</v>
      </c>
      <c r="E46" s="140">
        <f t="shared" ca="1" si="3"/>
        <v>3.0722222222222224</v>
      </c>
    </row>
    <row r="47" spans="2:13" ht="13.8">
      <c r="B47" s="138" t="s">
        <v>12</v>
      </c>
      <c r="C47" s="139">
        <v>45113</v>
      </c>
      <c r="D47" s="76" t="str">
        <f t="shared" ca="1" si="2"/>
        <v>0,8%</v>
      </c>
      <c r="E47" s="140">
        <f t="shared" ca="1" si="3"/>
        <v>2.8138888888888887</v>
      </c>
    </row>
    <row r="48" spans="2:13" ht="13.8">
      <c r="B48" s="138" t="s">
        <v>163</v>
      </c>
      <c r="C48" s="139">
        <v>45349</v>
      </c>
      <c r="D48" s="76" t="str">
        <f t="shared" ca="1" si="2"/>
        <v>0,8%</v>
      </c>
      <c r="E48" s="140">
        <f t="shared" ca="1" si="3"/>
        <v>2.1722222222222221</v>
      </c>
    </row>
    <row r="49" spans="2:5" ht="14.4">
      <c r="B49" s="138" t="s">
        <v>169</v>
      </c>
      <c r="C49" s="139">
        <v>45420</v>
      </c>
      <c r="D49" s="141">
        <v>0</v>
      </c>
      <c r="E49" s="142" t="s">
        <v>498</v>
      </c>
    </row>
    <row r="50" spans="2:5" ht="13.8">
      <c r="B50" s="138" t="s">
        <v>148</v>
      </c>
      <c r="C50" s="139">
        <v>45622</v>
      </c>
      <c r="D50" s="137" t="str">
        <f t="shared" ca="1" si="2"/>
        <v>0,2%</v>
      </c>
      <c r="E50" s="140">
        <f t="shared" ca="1" si="3"/>
        <v>1.425</v>
      </c>
    </row>
    <row r="51" spans="2:5" ht="13.8">
      <c r="B51" s="138" t="s">
        <v>499</v>
      </c>
      <c r="C51" s="139">
        <v>46062</v>
      </c>
      <c r="D51" s="137" t="str">
        <f t="shared" ca="1" si="2"/>
        <v>0,2%</v>
      </c>
      <c r="E51" s="140">
        <f t="shared" ca="1" si="3"/>
        <v>0.22222222222222221</v>
      </c>
    </row>
    <row r="52" spans="2:5" ht="13.2"/>
    <row r="53" spans="2:5" ht="13.2"/>
    <row r="54" spans="2:5" ht="13.2"/>
    <row r="55" spans="2:5" ht="13.2"/>
    <row r="56" spans="2:5" ht="13.2"/>
    <row r="57" spans="2:5" ht="13.2"/>
    <row r="58" spans="2:5" ht="13.2"/>
    <row r="59" spans="2:5" ht="13.2"/>
    <row r="60" spans="2:5" ht="13.2"/>
    <row r="61" spans="2:5" ht="13.2"/>
    <row r="62" spans="2:5" ht="13.2"/>
    <row r="63" spans="2:5" ht="13.2"/>
    <row r="64" spans="2:5" ht="13.2"/>
    <row r="65" ht="13.2"/>
    <row r="66" ht="13.2"/>
    <row r="67" ht="13.2"/>
    <row r="68" ht="13.2"/>
    <row r="69" ht="13.2"/>
    <row r="70" ht="13.2"/>
    <row r="71" ht="13.2"/>
    <row r="72" ht="13.2"/>
    <row r="73" ht="13.2"/>
    <row r="74" ht="13.2"/>
    <row r="75" ht="13.2"/>
    <row r="76" ht="13.2"/>
    <row r="77" ht="13.2"/>
    <row r="78" ht="13.2"/>
    <row r="79" ht="13.2"/>
    <row r="80" ht="13.2"/>
    <row r="81" ht="13.2"/>
    <row r="82" ht="13.2"/>
    <row r="83" ht="13.2"/>
    <row r="84" ht="13.2"/>
    <row r="85" ht="13.2"/>
    <row r="86" ht="13.2"/>
    <row r="87" ht="13.2"/>
    <row r="88" ht="13.2"/>
    <row r="89" ht="13.2"/>
    <row r="90" ht="13.2"/>
    <row r="91" ht="13.2"/>
    <row r="92" ht="13.2"/>
    <row r="93" ht="13.2"/>
    <row r="94" ht="13.2"/>
    <row r="95" ht="13.2"/>
    <row r="96" ht="13.2"/>
    <row r="97" ht="13.2"/>
    <row r="98" ht="13.2"/>
    <row r="99" ht="13.2"/>
    <row r="100" ht="13.2"/>
    <row r="101" ht="13.2"/>
    <row r="102" ht="13.2"/>
    <row r="103" ht="13.2"/>
    <row r="104" ht="13.2"/>
    <row r="105" ht="13.2"/>
    <row r="106" ht="13.2"/>
    <row r="107" ht="13.2"/>
    <row r="108" ht="13.2"/>
    <row r="109" ht="13.2"/>
    <row r="110" ht="13.2"/>
    <row r="111" ht="13.2"/>
    <row r="112" ht="13.2"/>
    <row r="113" ht="13.2"/>
    <row r="114" ht="13.2"/>
    <row r="115" ht="13.2"/>
    <row r="116" ht="13.2"/>
    <row r="117" ht="13.2"/>
    <row r="118" ht="13.2"/>
    <row r="119" ht="13.2"/>
    <row r="120" ht="13.2"/>
    <row r="121" ht="13.2"/>
    <row r="122" ht="13.2"/>
    <row r="123" ht="13.2"/>
    <row r="124" ht="13.2"/>
    <row r="125" ht="13.2"/>
    <row r="126" ht="13.2"/>
    <row r="127" ht="13.2"/>
    <row r="128" ht="13.2"/>
    <row r="129" ht="13.2"/>
    <row r="130" ht="13.2"/>
    <row r="131" ht="13.2"/>
    <row r="132" ht="13.2"/>
    <row r="133" ht="13.2"/>
    <row r="134" ht="13.2"/>
    <row r="135" ht="13.2"/>
    <row r="136" ht="13.2"/>
    <row r="137" ht="13.2"/>
    <row r="138" ht="13.2"/>
    <row r="139" ht="13.2"/>
    <row r="140" ht="13.2"/>
    <row r="141" ht="13.2"/>
    <row r="142" ht="13.2"/>
    <row r="143" ht="13.2"/>
    <row r="144" ht="13.2"/>
    <row r="145" ht="13.2"/>
    <row r="146" ht="13.2"/>
    <row r="147" ht="13.2"/>
    <row r="148" ht="13.2"/>
    <row r="149" ht="13.2"/>
    <row r="150" ht="13.2"/>
    <row r="151" ht="13.2"/>
    <row r="152" ht="13.2"/>
    <row r="153" ht="13.2"/>
    <row r="154" ht="13.2"/>
    <row r="155" ht="13.2"/>
    <row r="156" ht="13.2"/>
    <row r="157" ht="13.2"/>
    <row r="158" ht="13.2"/>
    <row r="159" ht="13.2"/>
    <row r="160" ht="13.2"/>
    <row r="161" ht="13.2"/>
    <row r="162" ht="13.2"/>
    <row r="163" ht="13.2"/>
    <row r="164" ht="13.2"/>
    <row r="165" ht="13.2"/>
    <row r="166" ht="13.2"/>
    <row r="167" ht="13.2"/>
    <row r="168" ht="13.2"/>
    <row r="169" ht="13.2"/>
    <row r="170" ht="13.2"/>
    <row r="171" ht="13.2"/>
    <row r="172" ht="13.2"/>
    <row r="173" ht="13.2"/>
    <row r="174" ht="13.2"/>
    <row r="175" ht="13.2"/>
    <row r="176" ht="13.2"/>
    <row r="177" ht="13.2"/>
    <row r="178" ht="13.2"/>
    <row r="179" ht="13.2"/>
    <row r="180" ht="13.2"/>
    <row r="181" ht="13.2"/>
    <row r="182" ht="13.2"/>
    <row r="183" ht="13.2"/>
    <row r="184" ht="13.2"/>
    <row r="185" ht="13.2"/>
    <row r="186" ht="13.2"/>
    <row r="187" ht="13.2"/>
    <row r="188" ht="13.2"/>
    <row r="189" ht="13.2"/>
    <row r="190" ht="13.2"/>
    <row r="191" ht="13.2"/>
    <row r="192" ht="13.2"/>
    <row r="193" ht="13.2"/>
    <row r="194" ht="13.2"/>
    <row r="195" ht="13.2"/>
    <row r="196" ht="13.2"/>
    <row r="197" ht="13.2"/>
    <row r="198" ht="13.2"/>
    <row r="199" ht="13.2"/>
    <row r="200" ht="13.2"/>
    <row r="201" ht="13.2"/>
    <row r="202" ht="13.2"/>
    <row r="203" ht="13.2"/>
    <row r="204" ht="13.2"/>
    <row r="205" ht="13.2"/>
    <row r="206" ht="13.2"/>
    <row r="207" ht="13.2"/>
    <row r="208" ht="13.2"/>
    <row r="209" ht="13.2"/>
    <row r="210" ht="13.2"/>
    <row r="211" ht="13.2"/>
    <row r="212" ht="13.2"/>
    <row r="213" ht="13.2"/>
    <row r="214" ht="13.2"/>
    <row r="215" ht="13.2"/>
    <row r="216" ht="13.2"/>
    <row r="217" ht="13.2"/>
    <row r="218" ht="13.2"/>
    <row r="219" ht="13.2"/>
    <row r="220" ht="13.2"/>
    <row r="221" ht="13.2"/>
    <row r="222" ht="13.2"/>
    <row r="223" ht="13.2"/>
    <row r="224" ht="13.2"/>
    <row r="225" ht="13.2"/>
    <row r="226" ht="13.2"/>
    <row r="227" ht="13.2"/>
    <row r="228" ht="13.2"/>
    <row r="229" ht="13.2"/>
    <row r="230" ht="13.2"/>
    <row r="231" ht="13.2"/>
    <row r="232" ht="13.2"/>
    <row r="233" ht="13.2"/>
    <row r="234" ht="13.2"/>
    <row r="235" ht="13.2"/>
    <row r="236" ht="13.2"/>
    <row r="237" ht="13.2"/>
    <row r="238" ht="13.2"/>
    <row r="239" ht="13.2"/>
    <row r="240" ht="13.2"/>
    <row r="241" ht="13.2"/>
    <row r="242" ht="13.2"/>
    <row r="243" ht="13.2"/>
    <row r="244" ht="13.2"/>
    <row r="245" ht="13.2"/>
    <row r="246" ht="13.2"/>
    <row r="247" ht="13.2"/>
    <row r="248" ht="13.2"/>
    <row r="249" ht="13.2"/>
    <row r="250" ht="13.2"/>
    <row r="251" ht="13.2"/>
    <row r="252" ht="13.2"/>
    <row r="253" ht="13.2"/>
    <row r="254" ht="13.2"/>
    <row r="255" ht="13.2"/>
    <row r="256" ht="13.2"/>
    <row r="257" s="44" customFormat="1" ht="13.2"/>
    <row r="258" s="44" customFormat="1" ht="13.2"/>
    <row r="259" s="44" customFormat="1" ht="13.2"/>
    <row r="260" s="44" customFormat="1" ht="13.2"/>
    <row r="261" s="44" customFormat="1" ht="13.2"/>
    <row r="262" s="44" customFormat="1" ht="13.2"/>
    <row r="263" s="44" customFormat="1" ht="13.2"/>
    <row r="264" s="44" customFormat="1" ht="13.2"/>
    <row r="265" s="44" customFormat="1" ht="13.2"/>
    <row r="266" s="44" customFormat="1" ht="13.2"/>
    <row r="267" s="44" customFormat="1" ht="13.2"/>
    <row r="268" s="44" customFormat="1" ht="13.2"/>
    <row r="269" s="44" customFormat="1" ht="13.2"/>
    <row r="270" s="44" customFormat="1" ht="13.2"/>
    <row r="271" s="44" customFormat="1" ht="13.2"/>
    <row r="272" s="44" customFormat="1" ht="13.2"/>
    <row r="273" s="44" customFormat="1" ht="13.2"/>
    <row r="274" s="44" customFormat="1" ht="13.2"/>
    <row r="275" s="44" customFormat="1" ht="13.2"/>
    <row r="276" s="44" customFormat="1" ht="13.2"/>
    <row r="277" s="44" customFormat="1" ht="13.2"/>
    <row r="278" s="44" customFormat="1" ht="13.2"/>
    <row r="279" s="44" customFormat="1" ht="13.2"/>
    <row r="280" s="44" customFormat="1" ht="13.2"/>
    <row r="281" s="44" customFormat="1" ht="13.2"/>
    <row r="282" s="44" customFormat="1" ht="13.2"/>
    <row r="283" s="44" customFormat="1" ht="13.2"/>
    <row r="284" s="44" customFormat="1" ht="13.2"/>
    <row r="285" s="44" customFormat="1" ht="13.2"/>
    <row r="286" s="44" customFormat="1" ht="13.2"/>
    <row r="287" s="44" customFormat="1" ht="13.2"/>
    <row r="288" s="44" customFormat="1" ht="13.2"/>
    <row r="289" s="44" customFormat="1" ht="13.2"/>
    <row r="290" s="44" customFormat="1" ht="13.2"/>
    <row r="291" s="44" customFormat="1" ht="13.2"/>
    <row r="292" s="44" customFormat="1" ht="13.2"/>
    <row r="293" s="44" customFormat="1" ht="13.2"/>
    <row r="294" s="44" customFormat="1" ht="13.2"/>
    <row r="295" s="44" customFormat="1" ht="13.2"/>
    <row r="296" s="44" customFormat="1" ht="13.2"/>
    <row r="297" s="44" customFormat="1" ht="13.2"/>
    <row r="298" s="44" customFormat="1" ht="13.2"/>
    <row r="299" s="44" customFormat="1" ht="13.2"/>
    <row r="300" s="44" customFormat="1" ht="13.2"/>
    <row r="301" s="44" customFormat="1" ht="13.2"/>
    <row r="302" s="44" customFormat="1" ht="13.2"/>
    <row r="303" s="44" customFormat="1" ht="13.2"/>
    <row r="304" s="44" customFormat="1" ht="13.2"/>
    <row r="305" s="44" customFormat="1" ht="13.2"/>
    <row r="306" s="44" customFormat="1" ht="13.2"/>
    <row r="307" s="44" customFormat="1" ht="13.2"/>
    <row r="308" s="44" customFormat="1" ht="13.2"/>
    <row r="309" s="44" customFormat="1" ht="13.2"/>
    <row r="310" s="44" customFormat="1" ht="13.2"/>
    <row r="311" s="44" customFormat="1" ht="13.2"/>
    <row r="312" s="44" customFormat="1" ht="13.2"/>
    <row r="313" s="44" customFormat="1" ht="13.2"/>
    <row r="314" s="44" customFormat="1" ht="13.2"/>
    <row r="315" s="44" customFormat="1" ht="13.2"/>
    <row r="316" s="44" customFormat="1" ht="13.2"/>
    <row r="317" s="44" customFormat="1" ht="13.2"/>
    <row r="318" s="44" customFormat="1" ht="13.2"/>
    <row r="319" s="44" customFormat="1" ht="13.2"/>
    <row r="320" s="44" customFormat="1" ht="13.2"/>
    <row r="321" s="44" customFormat="1" ht="13.2"/>
    <row r="322" s="44" customFormat="1" ht="13.2"/>
    <row r="323" s="44" customFormat="1" ht="13.2"/>
    <row r="324" s="44" customFormat="1" ht="13.2"/>
    <row r="325" s="44" customFormat="1" ht="13.2"/>
    <row r="326" s="44" customFormat="1" ht="13.2"/>
    <row r="327" s="44" customFormat="1" ht="13.2"/>
    <row r="328" s="44" customFormat="1" ht="13.2"/>
    <row r="329" s="44" customFormat="1" ht="13.2"/>
    <row r="330" s="44" customFormat="1" ht="13.2"/>
    <row r="331" s="44" customFormat="1" ht="13.2"/>
    <row r="332" s="44" customFormat="1" ht="13.2"/>
    <row r="333" s="44" customFormat="1" ht="13.2"/>
    <row r="334" s="44" customFormat="1" ht="13.2"/>
    <row r="335" s="44" customFormat="1" ht="13.2"/>
    <row r="336" s="44" customFormat="1" ht="13.2"/>
    <row r="337" s="44" customFormat="1" ht="13.2"/>
    <row r="338" s="44" customFormat="1" ht="13.2"/>
    <row r="339" s="44" customFormat="1" ht="13.2"/>
    <row r="340" s="44" customFormat="1" ht="13.2"/>
    <row r="341" s="44" customFormat="1" ht="13.2"/>
    <row r="342" s="44" customFormat="1" ht="13.2"/>
    <row r="343" s="44" customFormat="1" ht="13.2"/>
    <row r="344" s="44" customFormat="1" ht="13.2"/>
    <row r="345" s="44" customFormat="1" ht="13.2"/>
    <row r="346" s="44" customFormat="1" ht="13.2"/>
    <row r="347" s="44" customFormat="1" ht="13.2"/>
    <row r="348" s="44" customFormat="1" ht="13.2"/>
    <row r="349" s="44" customFormat="1" ht="13.2"/>
    <row r="350" s="44" customFormat="1" ht="13.2"/>
    <row r="351" s="44" customFormat="1" ht="13.2"/>
    <row r="352" s="44" customFormat="1" ht="13.2"/>
    <row r="353" s="44" customFormat="1" ht="13.2"/>
    <row r="354" s="44" customFormat="1" ht="13.2"/>
    <row r="355" s="44" customFormat="1" ht="13.2"/>
    <row r="356" s="44" customFormat="1" ht="13.2"/>
    <row r="357" s="44" customFormat="1" ht="13.2"/>
    <row r="358" s="44" customFormat="1" ht="13.2"/>
    <row r="359" s="44" customFormat="1" ht="13.2"/>
    <row r="360" s="44" customFormat="1" ht="13.2"/>
    <row r="361" s="44" customFormat="1" ht="13.2"/>
    <row r="362" s="44" customFormat="1" ht="13.2"/>
    <row r="363" s="44" customFormat="1" ht="13.2"/>
    <row r="364" s="44" customFormat="1" ht="13.2"/>
    <row r="365" s="44" customFormat="1" ht="13.2"/>
    <row r="366" s="44" customFormat="1" ht="13.2"/>
    <row r="367" s="44" customFormat="1" ht="13.2"/>
    <row r="368" s="44" customFormat="1" ht="13.2"/>
    <row r="369" s="44" customFormat="1" ht="13.2"/>
    <row r="370" s="44" customFormat="1" ht="13.2"/>
    <row r="371" s="44" customFormat="1" ht="13.2"/>
    <row r="372" s="44" customFormat="1" ht="13.2"/>
    <row r="373" s="44" customFormat="1" ht="13.2"/>
    <row r="374" s="44" customFormat="1" ht="13.2"/>
    <row r="375" s="44" customFormat="1" ht="13.2"/>
    <row r="376" s="44" customFormat="1" ht="13.2"/>
    <row r="377" s="44" customFormat="1" ht="13.2"/>
    <row r="378" s="44" customFormat="1" ht="13.2"/>
    <row r="379" s="44" customFormat="1" ht="13.2"/>
    <row r="380" s="44" customFormat="1" ht="13.2"/>
    <row r="381" s="44" customFormat="1" ht="13.2"/>
    <row r="382" s="44" customFormat="1" ht="13.2"/>
    <row r="383" s="44" customFormat="1" ht="13.2"/>
    <row r="384" s="44" customFormat="1" ht="13.2"/>
    <row r="385" s="44" customFormat="1" ht="13.2"/>
    <row r="386" s="44" customFormat="1" ht="13.2"/>
    <row r="387" s="44" customFormat="1" ht="13.2"/>
    <row r="388" s="44" customFormat="1" ht="13.2"/>
    <row r="389" s="44" customFormat="1" ht="13.2"/>
    <row r="390" s="44" customFormat="1" ht="13.2"/>
    <row r="391" s="44" customFormat="1" ht="13.2"/>
    <row r="392" s="44" customFormat="1" ht="13.2"/>
    <row r="393" s="44" customFormat="1" ht="13.2"/>
    <row r="394" s="44" customFormat="1" ht="13.2"/>
    <row r="395" s="44" customFormat="1" ht="13.2"/>
    <row r="396" s="44" customFormat="1" ht="13.2"/>
    <row r="397" s="44" customFormat="1" ht="13.2"/>
    <row r="398" s="44" customFormat="1" ht="13.2"/>
    <row r="399" s="44" customFormat="1" ht="13.2"/>
    <row r="400" s="44" customFormat="1" ht="13.2"/>
    <row r="401" s="44" customFormat="1" ht="13.2"/>
    <row r="402" s="44" customFormat="1" ht="13.2"/>
    <row r="403" s="44" customFormat="1" ht="13.2"/>
    <row r="404" s="44" customFormat="1" ht="13.2"/>
    <row r="405" s="44" customFormat="1" ht="13.2"/>
    <row r="406" s="44" customFormat="1" ht="13.2"/>
    <row r="407" s="44" customFormat="1" ht="13.2"/>
    <row r="408" s="44" customFormat="1" ht="13.2"/>
    <row r="409" s="44" customFormat="1" ht="13.2"/>
    <row r="410" s="44" customFormat="1" ht="13.2"/>
    <row r="411" s="44" customFormat="1" ht="13.2"/>
    <row r="412" s="44" customFormat="1" ht="13.2"/>
    <row r="413" s="44" customFormat="1" ht="13.2"/>
    <row r="414" s="44" customFormat="1" ht="13.2"/>
    <row r="415" s="44" customFormat="1" ht="13.2"/>
    <row r="416" s="44" customFormat="1" ht="13.2"/>
    <row r="417" s="44" customFormat="1" ht="13.2"/>
    <row r="418" s="44" customFormat="1" ht="13.2"/>
    <row r="419" s="44" customFormat="1" ht="13.2"/>
    <row r="420" s="44" customFormat="1" ht="13.2"/>
    <row r="421" s="44" customFormat="1" ht="13.2"/>
    <row r="422" s="44" customFormat="1" ht="13.2"/>
    <row r="423" s="44" customFormat="1" ht="13.2"/>
    <row r="424" s="44" customFormat="1" ht="13.2"/>
    <row r="425" s="44" customFormat="1" ht="13.2"/>
    <row r="426" s="44" customFormat="1" ht="13.2"/>
    <row r="427" s="44" customFormat="1" ht="13.2"/>
    <row r="428" s="44" customFormat="1" ht="13.2"/>
    <row r="429" s="44" customFormat="1" ht="13.2"/>
    <row r="430" s="44" customFormat="1" ht="13.2"/>
    <row r="431" s="44" customFormat="1" ht="13.2"/>
    <row r="432" s="44" customFormat="1" ht="13.2"/>
    <row r="433" s="44" customFormat="1" ht="13.2"/>
    <row r="434" s="44" customFormat="1" ht="13.2"/>
    <row r="435" s="44" customFormat="1" ht="13.2"/>
    <row r="436" s="44" customFormat="1" ht="13.2"/>
    <row r="437" s="44" customFormat="1" ht="13.2"/>
    <row r="438" s="44" customFormat="1" ht="13.2"/>
    <row r="439" s="44" customFormat="1" ht="13.2"/>
    <row r="440" s="44" customFormat="1" ht="13.2"/>
    <row r="441" s="44" customFormat="1" ht="13.2"/>
    <row r="442" s="44" customFormat="1" ht="13.2"/>
    <row r="443" s="44" customFormat="1" ht="13.2"/>
    <row r="444" s="44" customFormat="1" ht="13.2"/>
    <row r="445" s="44" customFormat="1" ht="13.2"/>
    <row r="446" s="44" customFormat="1" ht="13.2"/>
    <row r="447" s="44" customFormat="1" ht="13.2"/>
    <row r="448" s="44" customFormat="1" ht="13.2"/>
    <row r="449" s="44" customFormat="1" ht="13.2"/>
    <row r="450" s="44" customFormat="1" ht="13.2"/>
    <row r="451" s="44" customFormat="1" ht="13.2"/>
    <row r="452" s="44" customFormat="1" ht="13.2"/>
    <row r="453" s="44" customFormat="1" ht="13.2"/>
    <row r="454" s="44" customFormat="1" ht="13.2"/>
    <row r="455" s="44" customFormat="1" ht="13.2"/>
    <row r="456" s="44" customFormat="1" ht="13.2"/>
    <row r="457" s="44" customFormat="1" ht="13.2"/>
    <row r="458" s="44" customFormat="1" ht="13.2"/>
    <row r="459" s="44" customFormat="1" ht="13.2"/>
    <row r="460" s="44" customFormat="1" ht="13.2"/>
    <row r="461" s="44" customFormat="1" ht="13.2"/>
    <row r="462" s="44" customFormat="1" ht="13.2"/>
    <row r="463" s="44" customFormat="1" ht="13.2"/>
    <row r="464" s="44" customFormat="1" ht="13.2"/>
    <row r="465" s="44" customFormat="1" ht="13.2"/>
    <row r="466" s="44" customFormat="1" ht="13.2"/>
    <row r="467" s="44" customFormat="1" ht="13.2"/>
    <row r="468" s="44" customFormat="1" ht="13.2"/>
    <row r="469" s="44" customFormat="1" ht="13.2"/>
    <row r="470" s="44" customFormat="1" ht="13.2"/>
    <row r="471" s="44" customFormat="1" ht="13.2"/>
    <row r="472" s="44" customFormat="1" ht="13.2"/>
    <row r="473" s="44" customFormat="1" ht="13.2"/>
    <row r="474" s="44" customFormat="1" ht="13.2"/>
    <row r="475" s="44" customFormat="1" ht="13.2"/>
    <row r="476" s="44" customFormat="1" ht="13.2"/>
    <row r="477" s="44" customFormat="1" ht="13.2"/>
    <row r="478" s="44" customFormat="1" ht="13.2"/>
    <row r="479" s="44" customFormat="1" ht="13.2"/>
    <row r="480" s="44" customFormat="1" ht="13.2"/>
    <row r="481" s="44" customFormat="1" ht="13.2"/>
    <row r="482" s="44" customFormat="1" ht="13.2"/>
    <row r="483" s="44" customFormat="1" ht="13.2"/>
    <row r="484" s="44" customFormat="1" ht="13.2"/>
    <row r="485" s="44" customFormat="1" ht="13.2"/>
    <row r="486" s="44" customFormat="1" ht="13.2"/>
    <row r="487" s="44" customFormat="1" ht="13.2"/>
    <row r="488" s="44" customFormat="1" ht="13.2"/>
    <row r="489" s="44" customFormat="1" ht="13.2"/>
    <row r="490" s="44" customFormat="1" ht="13.2"/>
    <row r="491" s="44" customFormat="1" ht="13.2"/>
    <row r="492" s="44" customFormat="1" ht="13.2"/>
    <row r="493" s="44" customFormat="1" ht="13.2"/>
    <row r="494" s="44" customFormat="1" ht="13.2"/>
    <row r="495" s="44" customFormat="1" ht="13.2"/>
    <row r="496" s="44" customFormat="1" ht="13.2"/>
    <row r="497" s="44" customFormat="1" ht="13.2"/>
    <row r="498" s="44" customFormat="1" ht="13.2"/>
    <row r="499" s="44" customFormat="1" ht="13.2"/>
    <row r="500" s="44" customFormat="1" ht="13.2"/>
    <row r="501" s="44" customFormat="1" ht="13.2"/>
    <row r="502" s="44" customFormat="1" ht="13.2"/>
    <row r="503" s="44" customFormat="1" ht="13.2"/>
    <row r="504" s="44" customFormat="1" ht="13.2"/>
    <row r="505" s="44" customFormat="1" ht="13.2"/>
    <row r="506" s="44" customFormat="1" ht="13.2"/>
    <row r="507" s="44" customFormat="1" ht="13.2"/>
    <row r="508" s="44" customFormat="1" ht="13.2"/>
    <row r="509" s="44" customFormat="1" ht="13.2"/>
    <row r="510" s="44" customFormat="1" ht="13.2"/>
    <row r="511" s="44" customFormat="1" ht="13.2"/>
    <row r="512" s="44" customFormat="1" ht="13.2"/>
    <row r="513" s="44" customFormat="1" ht="13.2"/>
    <row r="514" s="44" customFormat="1" ht="13.2"/>
    <row r="515" s="44" customFormat="1" ht="13.2"/>
    <row r="516" s="44" customFormat="1" ht="13.2"/>
    <row r="517" s="44" customFormat="1" ht="13.2"/>
    <row r="518" s="44" customFormat="1" ht="13.2"/>
    <row r="519" s="44" customFormat="1" ht="13.2"/>
    <row r="520" s="44" customFormat="1" ht="13.2"/>
    <row r="521" s="44" customFormat="1" ht="13.2"/>
    <row r="522" s="44" customFormat="1" ht="13.2"/>
    <row r="523" s="44" customFormat="1" ht="13.2"/>
    <row r="524" s="44" customFormat="1" ht="13.2"/>
    <row r="525" s="44" customFormat="1" ht="13.2"/>
    <row r="526" s="44" customFormat="1" ht="13.2"/>
    <row r="527" s="44" customFormat="1" ht="13.2"/>
    <row r="528" s="44" customFormat="1" ht="13.2"/>
    <row r="529" s="44" customFormat="1" ht="13.2"/>
    <row r="530" s="44" customFormat="1" ht="13.2"/>
    <row r="531" s="44" customFormat="1" ht="13.2"/>
    <row r="532" s="44" customFormat="1" ht="13.2"/>
    <row r="533" s="44" customFormat="1" ht="13.2"/>
    <row r="534" s="44" customFormat="1" ht="13.2"/>
    <row r="535" s="44" customFormat="1" ht="13.2"/>
    <row r="536" s="44" customFormat="1" ht="13.2"/>
    <row r="537" s="44" customFormat="1" ht="13.2"/>
    <row r="538" s="44" customFormat="1" ht="13.2"/>
    <row r="539" s="44" customFormat="1" ht="13.2"/>
    <row r="540" s="44" customFormat="1" ht="13.2"/>
    <row r="541" s="44" customFormat="1" ht="13.2"/>
    <row r="542" s="44" customFormat="1" ht="13.2"/>
    <row r="543" s="44" customFormat="1" ht="13.2"/>
    <row r="544" s="44" customFormat="1" ht="13.2"/>
    <row r="545" s="44" customFormat="1" ht="13.2"/>
    <row r="546" s="44" customFormat="1" ht="13.2"/>
    <row r="547" s="44" customFormat="1" ht="13.2"/>
    <row r="548" s="44" customFormat="1" ht="13.2"/>
    <row r="549" s="44" customFormat="1" ht="13.2"/>
    <row r="550" s="44" customFormat="1" ht="13.2"/>
    <row r="551" s="44" customFormat="1" ht="13.2"/>
    <row r="552" s="44" customFormat="1" ht="13.2"/>
    <row r="553" s="44" customFormat="1" ht="13.2"/>
    <row r="554" s="44" customFormat="1" ht="13.2"/>
    <row r="555" s="44" customFormat="1" ht="13.2"/>
    <row r="556" s="44" customFormat="1" ht="13.2"/>
    <row r="557" s="44" customFormat="1" ht="13.2"/>
    <row r="558" s="44" customFormat="1" ht="13.2"/>
    <row r="559" s="44" customFormat="1" ht="13.2"/>
    <row r="560" s="44" customFormat="1" ht="13.2"/>
    <row r="561" s="44" customFormat="1" ht="13.2"/>
    <row r="562" s="44" customFormat="1" ht="13.2"/>
    <row r="563" s="44" customFormat="1" ht="13.2"/>
    <row r="564" s="44" customFormat="1" ht="13.2"/>
    <row r="565" s="44" customFormat="1" ht="13.2"/>
    <row r="566" s="44" customFormat="1" ht="13.2"/>
    <row r="567" s="44" customFormat="1" ht="13.2"/>
    <row r="568" s="44" customFormat="1" ht="13.2"/>
    <row r="569" s="44" customFormat="1" ht="13.2"/>
    <row r="570" s="44" customFormat="1" ht="13.2"/>
    <row r="571" s="44" customFormat="1" ht="13.2"/>
    <row r="572" s="44" customFormat="1" ht="13.2"/>
    <row r="573" s="44" customFormat="1" ht="13.2"/>
    <row r="574" s="44" customFormat="1" ht="13.2"/>
    <row r="575" s="44" customFormat="1" ht="13.2"/>
    <row r="576" s="44" customFormat="1" ht="13.2"/>
    <row r="577" s="44" customFormat="1" ht="13.2"/>
    <row r="578" s="44" customFormat="1" ht="13.2"/>
    <row r="579" s="44" customFormat="1" ht="13.2"/>
    <row r="580" s="44" customFormat="1" ht="13.2"/>
    <row r="581" s="44" customFormat="1" ht="13.2"/>
    <row r="582" s="44" customFormat="1" ht="13.2"/>
    <row r="583" s="44" customFormat="1" ht="13.2"/>
    <row r="584" s="44" customFormat="1" ht="13.2"/>
    <row r="585" s="44" customFormat="1" ht="13.2"/>
    <row r="586" s="44" customFormat="1" ht="13.2"/>
    <row r="587" s="44" customFormat="1" ht="13.2"/>
    <row r="588" s="44" customFormat="1" ht="13.2"/>
    <row r="589" s="44" customFormat="1" ht="13.2"/>
    <row r="590" s="44" customFormat="1" ht="13.2"/>
    <row r="591" s="44" customFormat="1" ht="13.2"/>
    <row r="592" s="44" customFormat="1" ht="13.2"/>
    <row r="593" s="44" customFormat="1" ht="13.2"/>
    <row r="594" s="44" customFormat="1" ht="13.2"/>
    <row r="595" s="44" customFormat="1" ht="13.2"/>
    <row r="596" s="44" customFormat="1" ht="13.2"/>
    <row r="597" s="44" customFormat="1" ht="13.2"/>
    <row r="598" s="44" customFormat="1" ht="13.2"/>
    <row r="599" s="44" customFormat="1" ht="13.2"/>
    <row r="600" s="44" customFormat="1" ht="13.2"/>
    <row r="601" s="44" customFormat="1" ht="13.2"/>
    <row r="602" s="44" customFormat="1" ht="13.2"/>
    <row r="603" s="44" customFormat="1" ht="13.2"/>
    <row r="604" s="44" customFormat="1" ht="13.2"/>
    <row r="605" s="44" customFormat="1" ht="13.2"/>
    <row r="606" s="44" customFormat="1" ht="13.2"/>
    <row r="607" s="44" customFormat="1" ht="13.2"/>
    <row r="608" s="44" customFormat="1" ht="13.2"/>
    <row r="609" s="44" customFormat="1" ht="13.2"/>
    <row r="610" s="44" customFormat="1" ht="13.2"/>
    <row r="611" s="44" customFormat="1" ht="13.2"/>
    <row r="612" s="44" customFormat="1" ht="13.2"/>
    <row r="613" s="44" customFormat="1" ht="13.2"/>
    <row r="614" s="44" customFormat="1" ht="13.2"/>
    <row r="615" s="44" customFormat="1" ht="13.2"/>
    <row r="616" s="44" customFormat="1" ht="13.2"/>
    <row r="617" s="44" customFormat="1" ht="13.2"/>
    <row r="618" s="44" customFormat="1" ht="13.2"/>
    <row r="619" s="44" customFormat="1" ht="13.2"/>
    <row r="620" s="44" customFormat="1" ht="13.2"/>
    <row r="621" s="44" customFormat="1" ht="13.2"/>
    <row r="622" s="44" customFormat="1" ht="13.2"/>
    <row r="623" s="44" customFormat="1" ht="13.2"/>
    <row r="624" s="44" customFormat="1" ht="13.2"/>
    <row r="625" s="44" customFormat="1" ht="13.2"/>
    <row r="626" s="44" customFormat="1" ht="13.2"/>
    <row r="627" s="44" customFormat="1" ht="13.2"/>
    <row r="628" s="44" customFormat="1" ht="13.2"/>
    <row r="629" s="44" customFormat="1" ht="13.2"/>
    <row r="630" s="44" customFormat="1" ht="13.2"/>
    <row r="631" s="44" customFormat="1" ht="13.2"/>
    <row r="632" s="44" customFormat="1" ht="13.2"/>
    <row r="633" s="44" customFormat="1" ht="13.2"/>
    <row r="634" s="44" customFormat="1" ht="13.2"/>
    <row r="635" s="44" customFormat="1" ht="13.2"/>
    <row r="636" s="44" customFormat="1" ht="13.2"/>
    <row r="637" s="44" customFormat="1" ht="13.2"/>
    <row r="638" s="44" customFormat="1" ht="13.2"/>
    <row r="639" s="44" customFormat="1" ht="13.2"/>
    <row r="640" s="44" customFormat="1" ht="13.2"/>
    <row r="641" s="44" customFormat="1" ht="13.2"/>
    <row r="642" s="44" customFormat="1" ht="13.2"/>
    <row r="643" s="44" customFormat="1" ht="13.2"/>
    <row r="644" s="44" customFormat="1" ht="13.2"/>
    <row r="645" s="44" customFormat="1" ht="13.2"/>
    <row r="646" s="44" customFormat="1" ht="13.2"/>
    <row r="647" s="44" customFormat="1" ht="13.2"/>
    <row r="648" s="44" customFormat="1" ht="13.2"/>
    <row r="649" s="44" customFormat="1" ht="13.2"/>
    <row r="650" s="44" customFormat="1" ht="13.2"/>
    <row r="651" s="44" customFormat="1" ht="13.2"/>
    <row r="652" s="44" customFormat="1" ht="13.2"/>
    <row r="653" s="44" customFormat="1" ht="13.2"/>
    <row r="654" s="44" customFormat="1" ht="13.2"/>
    <row r="655" s="44" customFormat="1" ht="13.2"/>
    <row r="656" s="44" customFormat="1" ht="13.2"/>
    <row r="657" s="44" customFormat="1" ht="13.2"/>
    <row r="658" s="44" customFormat="1" ht="13.2"/>
    <row r="659" s="44" customFormat="1" ht="13.2"/>
    <row r="660" s="44" customFormat="1" ht="13.2"/>
    <row r="661" s="44" customFormat="1" ht="13.2"/>
    <row r="662" s="44" customFormat="1" ht="13.2"/>
    <row r="663" s="44" customFormat="1" ht="13.2"/>
    <row r="664" s="44" customFormat="1" ht="13.2"/>
    <row r="665" s="44" customFormat="1" ht="13.2"/>
    <row r="666" s="44" customFormat="1" ht="13.2"/>
    <row r="667" s="44" customFormat="1" ht="13.2"/>
    <row r="668" s="44" customFormat="1" ht="13.2"/>
    <row r="669" s="44" customFormat="1" ht="13.2"/>
    <row r="670" s="44" customFormat="1" ht="13.2"/>
    <row r="671" s="44" customFormat="1" ht="13.2"/>
    <row r="672" s="44" customFormat="1" ht="13.2"/>
    <row r="673" s="44" customFormat="1" ht="13.2"/>
    <row r="674" s="44" customFormat="1" ht="13.2"/>
    <row r="675" s="44" customFormat="1" ht="13.2"/>
    <row r="676" s="44" customFormat="1" ht="13.2"/>
    <row r="677" s="44" customFormat="1" ht="13.2"/>
    <row r="678" s="44" customFormat="1" ht="13.2"/>
    <row r="679" s="44" customFormat="1" ht="13.2"/>
    <row r="680" s="44" customFormat="1" ht="13.2"/>
    <row r="681" s="44" customFormat="1" ht="13.2"/>
    <row r="682" s="44" customFormat="1" ht="13.2"/>
    <row r="683" s="44" customFormat="1" ht="13.2"/>
    <row r="684" s="44" customFormat="1" ht="13.2"/>
    <row r="685" s="44" customFormat="1" ht="13.2"/>
    <row r="686" s="44" customFormat="1" ht="13.2"/>
    <row r="687" s="44" customFormat="1" ht="13.2"/>
    <row r="688" s="44" customFormat="1" ht="13.2"/>
    <row r="689" s="44" customFormat="1" ht="13.2"/>
    <row r="690" s="44" customFormat="1" ht="13.2"/>
    <row r="691" s="44" customFormat="1" ht="13.2"/>
    <row r="692" s="44" customFormat="1" ht="13.2"/>
    <row r="693" s="44" customFormat="1" ht="13.2"/>
    <row r="694" s="44" customFormat="1" ht="13.2"/>
    <row r="695" s="44" customFormat="1" ht="13.2"/>
    <row r="696" s="44" customFormat="1" ht="13.2"/>
    <row r="697" s="44" customFormat="1" ht="13.2"/>
    <row r="698" s="44" customFormat="1" ht="13.2"/>
    <row r="699" s="44" customFormat="1" ht="13.2"/>
    <row r="700" s="44" customFormat="1" ht="13.2"/>
    <row r="701" s="44" customFormat="1" ht="13.2"/>
    <row r="702" s="44" customFormat="1" ht="13.2"/>
    <row r="703" s="44" customFormat="1" ht="13.2"/>
    <row r="704" s="44" customFormat="1" ht="13.2"/>
    <row r="705" s="44" customFormat="1" ht="13.2"/>
    <row r="706" s="44" customFormat="1" ht="13.2"/>
    <row r="707" s="44" customFormat="1" ht="13.2"/>
    <row r="708" s="44" customFormat="1" ht="13.2"/>
    <row r="709" s="44" customFormat="1" ht="13.2"/>
    <row r="710" s="44" customFormat="1" ht="13.2"/>
    <row r="711" s="44" customFormat="1" ht="13.2"/>
    <row r="712" s="44" customFormat="1" ht="13.2"/>
    <row r="713" s="44" customFormat="1" ht="13.2"/>
    <row r="714" s="44" customFormat="1" ht="13.2"/>
    <row r="715" s="44" customFormat="1" ht="13.2"/>
    <row r="716" s="44" customFormat="1" ht="13.2"/>
    <row r="717" s="44" customFormat="1" ht="13.2"/>
    <row r="718" s="44" customFormat="1" ht="13.2"/>
    <row r="719" s="44" customFormat="1" ht="13.2"/>
    <row r="720" s="44" customFormat="1" ht="13.2"/>
    <row r="721" s="44" customFormat="1" ht="13.2"/>
    <row r="722" s="44" customFormat="1" ht="13.2"/>
    <row r="723" s="44" customFormat="1" ht="13.2"/>
    <row r="724" s="44" customFormat="1" ht="13.2"/>
    <row r="725" s="44" customFormat="1" ht="13.2"/>
    <row r="726" s="44" customFormat="1" ht="13.2"/>
    <row r="727" s="44" customFormat="1" ht="13.2"/>
    <row r="728" s="44" customFormat="1" ht="13.2"/>
    <row r="729" s="44" customFormat="1" ht="13.2"/>
    <row r="730" s="44" customFormat="1" ht="13.2"/>
    <row r="731" s="44" customFormat="1" ht="13.2"/>
    <row r="732" s="44" customFormat="1" ht="13.2"/>
    <row r="733" s="44" customFormat="1" ht="13.2"/>
    <row r="734" s="44" customFormat="1" ht="13.2"/>
    <row r="735" s="44" customFormat="1" ht="13.2"/>
    <row r="736" s="44" customFormat="1" ht="13.2"/>
    <row r="737" s="44" customFormat="1" ht="13.2"/>
    <row r="738" s="44" customFormat="1" ht="13.2"/>
    <row r="739" s="44" customFormat="1" ht="13.2"/>
    <row r="740" s="44" customFormat="1" ht="13.2"/>
    <row r="741" s="44" customFormat="1" ht="13.2"/>
    <row r="742" s="44" customFormat="1" ht="13.2"/>
    <row r="743" s="44" customFormat="1" ht="13.2"/>
    <row r="744" s="44" customFormat="1" ht="13.2"/>
    <row r="745" s="44" customFormat="1" ht="13.2"/>
    <row r="746" s="44" customFormat="1" ht="13.2"/>
    <row r="747" s="44" customFormat="1" ht="13.2"/>
    <row r="748" s="44" customFormat="1" ht="13.2"/>
    <row r="749" s="44" customFormat="1" ht="13.2"/>
    <row r="750" s="44" customFormat="1" ht="13.2"/>
    <row r="751" s="44" customFormat="1" ht="13.2"/>
    <row r="752" s="44" customFormat="1" ht="13.2"/>
    <row r="753" s="44" customFormat="1" ht="13.2"/>
    <row r="754" s="44" customFormat="1" ht="13.2"/>
    <row r="755" s="44" customFormat="1" ht="13.2"/>
    <row r="756" s="44" customFormat="1" ht="13.2"/>
    <row r="757" s="44" customFormat="1" ht="13.2"/>
    <row r="758" s="44" customFormat="1" ht="13.2"/>
    <row r="759" s="44" customFormat="1" ht="13.2"/>
    <row r="760" s="44" customFormat="1" ht="13.2"/>
    <row r="761" s="44" customFormat="1" ht="13.2"/>
    <row r="762" s="44" customFormat="1" ht="13.2"/>
    <row r="763" s="44" customFormat="1" ht="13.2"/>
    <row r="764" s="44" customFormat="1" ht="13.2"/>
    <row r="765" s="44" customFormat="1" ht="13.2"/>
    <row r="766" s="44" customFormat="1" ht="13.2"/>
    <row r="767" s="44" customFormat="1" ht="13.2"/>
    <row r="768" s="44" customFormat="1" ht="13.2"/>
    <row r="769" s="44" customFormat="1" ht="13.2"/>
    <row r="770" s="44" customFormat="1" ht="13.2"/>
    <row r="771" s="44" customFormat="1" ht="13.2"/>
    <row r="772" s="44" customFormat="1" ht="13.2"/>
    <row r="773" s="44" customFormat="1" ht="13.2"/>
    <row r="774" s="44" customFormat="1" ht="13.2"/>
    <row r="775" s="44" customFormat="1" ht="13.2"/>
    <row r="776" s="44" customFormat="1" ht="13.2"/>
    <row r="777" s="44" customFormat="1" ht="13.2"/>
    <row r="778" s="44" customFormat="1" ht="13.2"/>
    <row r="779" s="44" customFormat="1" ht="13.2"/>
    <row r="780" s="44" customFormat="1" ht="13.2"/>
    <row r="781" s="44" customFormat="1" ht="13.2"/>
    <row r="782" s="44" customFormat="1" ht="13.2"/>
    <row r="783" s="44" customFormat="1" ht="13.2"/>
    <row r="784" s="44" customFormat="1" ht="13.2"/>
    <row r="785" s="44" customFormat="1" ht="13.2"/>
    <row r="786" s="44" customFormat="1" ht="13.2"/>
    <row r="787" s="44" customFormat="1" ht="13.2"/>
    <row r="788" s="44" customFormat="1" ht="13.2"/>
    <row r="789" s="44" customFormat="1" ht="13.2"/>
    <row r="790" s="44" customFormat="1" ht="13.2"/>
    <row r="791" s="44" customFormat="1" ht="13.2"/>
    <row r="792" s="44" customFormat="1" ht="13.2"/>
    <row r="793" s="44" customFormat="1" ht="13.2"/>
    <row r="794" s="44" customFormat="1" ht="13.2"/>
    <row r="795" s="44" customFormat="1" ht="13.2"/>
    <row r="796" s="44" customFormat="1" ht="13.2"/>
    <row r="797" s="44" customFormat="1" ht="13.2"/>
    <row r="798" s="44" customFormat="1" ht="13.2"/>
    <row r="799" s="44" customFormat="1" ht="13.2"/>
    <row r="800" s="44" customFormat="1" ht="13.2"/>
    <row r="801" s="44" customFormat="1" ht="13.2"/>
    <row r="802" s="44" customFormat="1" ht="13.2"/>
    <row r="803" s="44" customFormat="1" ht="13.2"/>
    <row r="804" s="44" customFormat="1" ht="13.2"/>
    <row r="805" s="44" customFormat="1" ht="13.2"/>
    <row r="806" s="44" customFormat="1" ht="13.2"/>
    <row r="807" s="44" customFormat="1" ht="13.2"/>
    <row r="808" s="44" customFormat="1" ht="13.2"/>
    <row r="809" s="44" customFormat="1" ht="13.2"/>
    <row r="810" s="44" customFormat="1" ht="13.2"/>
    <row r="811" s="44" customFormat="1" ht="13.2"/>
    <row r="812" s="44" customFormat="1" ht="13.2"/>
    <row r="813" s="44" customFormat="1" ht="13.2"/>
    <row r="814" s="44" customFormat="1" ht="13.2"/>
    <row r="815" s="44" customFormat="1" ht="13.2"/>
    <row r="816" s="44" customFormat="1" ht="13.2"/>
    <row r="817" s="44" customFormat="1" ht="13.2"/>
    <row r="818" s="44" customFormat="1" ht="13.2"/>
    <row r="819" s="44" customFormat="1" ht="13.2"/>
    <row r="820" s="44" customFormat="1" ht="13.2"/>
    <row r="821" s="44" customFormat="1" ht="13.2"/>
    <row r="822" s="44" customFormat="1" ht="13.2"/>
    <row r="823" s="44" customFormat="1" ht="13.2"/>
    <row r="824" s="44" customFormat="1" ht="13.2"/>
    <row r="825" s="44" customFormat="1" ht="13.2"/>
    <row r="826" s="44" customFormat="1" ht="13.2"/>
    <row r="827" s="44" customFormat="1" ht="13.2"/>
    <row r="828" s="44" customFormat="1" ht="13.2"/>
    <row r="829" s="44" customFormat="1" ht="13.2"/>
    <row r="830" s="44" customFormat="1" ht="13.2"/>
    <row r="831" s="44" customFormat="1" ht="13.2"/>
    <row r="832" s="44" customFormat="1" ht="13.2"/>
    <row r="833" s="44" customFormat="1" ht="13.2"/>
    <row r="834" s="44" customFormat="1" ht="13.2"/>
    <row r="835" s="44" customFormat="1" ht="13.2"/>
    <row r="836" s="44" customFormat="1" ht="13.2"/>
    <row r="837" s="44" customFormat="1" ht="13.2"/>
    <row r="838" s="44" customFormat="1" ht="13.2"/>
    <row r="839" s="44" customFormat="1" ht="13.2"/>
    <row r="840" s="44" customFormat="1" ht="13.2"/>
    <row r="841" s="44" customFormat="1" ht="13.2"/>
    <row r="842" s="44" customFormat="1" ht="13.2"/>
    <row r="843" s="44" customFormat="1" ht="13.2"/>
    <row r="844" s="44" customFormat="1" ht="13.2"/>
    <row r="845" s="44" customFormat="1" ht="13.2"/>
    <row r="846" s="44" customFormat="1" ht="13.2"/>
    <row r="847" s="44" customFormat="1" ht="13.2"/>
    <row r="848" s="44" customFormat="1" ht="13.2"/>
    <row r="849" s="44" customFormat="1" ht="13.2"/>
    <row r="850" s="44" customFormat="1" ht="13.2"/>
    <row r="851" s="44" customFormat="1" ht="13.2"/>
    <row r="852" s="44" customFormat="1" ht="13.2"/>
    <row r="853" s="44" customFormat="1" ht="13.2"/>
    <row r="854" s="44" customFormat="1" ht="13.2"/>
    <row r="855" s="44" customFormat="1" ht="13.2"/>
    <row r="856" s="44" customFormat="1" ht="13.2"/>
    <row r="857" s="44" customFormat="1" ht="13.2"/>
    <row r="858" s="44" customFormat="1" ht="13.2"/>
    <row r="859" s="44" customFormat="1" ht="13.2"/>
    <row r="860" s="44" customFormat="1" ht="13.2"/>
    <row r="861" s="44" customFormat="1" ht="13.2"/>
    <row r="862" s="44" customFormat="1" ht="13.2"/>
    <row r="863" s="44" customFormat="1" ht="13.2"/>
    <row r="864" s="44" customFormat="1" ht="13.2"/>
    <row r="865" s="44" customFormat="1" ht="13.2"/>
    <row r="866" s="44" customFormat="1" ht="13.2"/>
    <row r="867" s="44" customFormat="1" ht="13.2"/>
    <row r="868" s="44" customFormat="1" ht="13.2"/>
    <row r="869" s="44" customFormat="1" ht="13.2"/>
    <row r="870" s="44" customFormat="1" ht="13.2"/>
    <row r="871" s="44" customFormat="1" ht="13.2"/>
    <row r="872" s="44" customFormat="1" ht="13.2"/>
    <row r="873" s="44" customFormat="1" ht="13.2"/>
    <row r="874" s="44" customFormat="1" ht="13.2"/>
    <row r="875" s="44" customFormat="1" ht="13.2"/>
    <row r="876" s="44" customFormat="1" ht="13.2"/>
    <row r="877" s="44" customFormat="1" ht="13.2"/>
    <row r="878" s="44" customFormat="1" ht="13.2"/>
    <row r="879" s="44" customFormat="1" ht="13.2"/>
    <row r="880" s="44" customFormat="1" ht="13.2"/>
    <row r="881" s="44" customFormat="1" ht="13.2"/>
    <row r="882" s="44" customFormat="1" ht="13.2"/>
    <row r="883" s="44" customFormat="1" ht="13.2"/>
    <row r="884" s="44" customFormat="1" ht="13.2"/>
    <row r="885" s="44" customFormat="1" ht="13.2"/>
    <row r="886" s="44" customFormat="1" ht="13.2"/>
    <row r="887" s="44" customFormat="1" ht="13.2"/>
    <row r="888" s="44" customFormat="1" ht="13.2"/>
    <row r="889" s="44" customFormat="1" ht="13.2"/>
    <row r="890" s="44" customFormat="1" ht="13.2"/>
    <row r="891" s="44" customFormat="1" ht="13.2"/>
    <row r="892" s="44" customFormat="1" ht="13.2"/>
    <row r="893" s="44" customFormat="1" ht="13.2"/>
    <row r="894" s="44" customFormat="1" ht="13.2"/>
    <row r="895" s="44" customFormat="1" ht="13.2"/>
    <row r="896" s="44" customFormat="1" ht="13.2"/>
    <row r="897" s="44" customFormat="1" ht="13.2"/>
    <row r="898" s="44" customFormat="1" ht="13.2"/>
    <row r="899" s="44" customFormat="1" ht="13.2"/>
    <row r="900" s="44" customFormat="1" ht="13.2"/>
    <row r="901" s="44" customFormat="1" ht="13.2"/>
    <row r="902" s="44" customFormat="1" ht="13.2"/>
    <row r="903" s="44" customFormat="1" ht="13.2"/>
    <row r="904" s="44" customFormat="1" ht="13.2"/>
    <row r="905" s="44" customFormat="1" ht="13.2"/>
    <row r="906" s="44" customFormat="1" ht="13.2"/>
    <row r="907" s="44" customFormat="1" ht="13.2"/>
    <row r="908" s="44" customFormat="1" ht="13.2"/>
    <row r="909" s="44" customFormat="1" ht="13.2"/>
    <row r="910" s="44" customFormat="1" ht="13.2"/>
    <row r="911" s="44" customFormat="1" ht="13.2"/>
    <row r="912" s="44" customFormat="1" ht="13.2"/>
    <row r="913" s="44" customFormat="1" ht="13.2"/>
    <row r="914" s="44" customFormat="1" ht="13.2"/>
    <row r="915" s="44" customFormat="1" ht="13.2"/>
    <row r="916" s="44" customFormat="1" ht="13.2"/>
    <row r="917" s="44" customFormat="1" ht="13.2"/>
    <row r="918" s="44" customFormat="1" ht="13.2"/>
    <row r="919" s="44" customFormat="1" ht="13.2"/>
    <row r="920" s="44" customFormat="1" ht="13.2"/>
    <row r="921" s="44" customFormat="1" ht="13.2"/>
    <row r="922" s="44" customFormat="1" ht="13.2"/>
    <row r="923" s="44" customFormat="1" ht="13.2"/>
    <row r="924" s="44" customFormat="1" ht="13.2"/>
    <row r="925" s="44" customFormat="1" ht="13.2"/>
    <row r="926" s="44" customFormat="1" ht="13.2"/>
    <row r="927" s="44" customFormat="1" ht="13.2"/>
    <row r="928" s="44" customFormat="1" ht="13.2"/>
    <row r="929" s="44" customFormat="1" ht="13.2"/>
    <row r="930" s="44" customFormat="1" ht="13.2"/>
    <row r="931" s="44" customFormat="1" ht="13.2"/>
    <row r="932" s="44" customFormat="1" ht="13.2"/>
    <row r="933" s="44" customFormat="1" ht="13.2"/>
    <row r="934" s="44" customFormat="1" ht="13.2"/>
    <row r="935" s="44" customFormat="1" ht="13.2"/>
    <row r="936" s="44" customFormat="1" ht="13.2"/>
    <row r="937" s="44" customFormat="1" ht="13.2"/>
    <row r="938" s="44" customFormat="1" ht="13.2"/>
    <row r="939" s="44" customFormat="1" ht="13.2"/>
    <row r="940" s="44" customFormat="1" ht="13.2"/>
    <row r="941" s="44" customFormat="1" ht="13.2"/>
    <row r="942" s="44" customFormat="1" ht="13.2"/>
    <row r="943" s="44" customFormat="1" ht="13.2"/>
    <row r="944" s="44" customFormat="1" ht="13.2"/>
    <row r="945" s="44" customFormat="1" ht="13.2"/>
    <row r="946" s="44" customFormat="1" ht="13.2"/>
    <row r="947" s="44" customFormat="1" ht="13.2"/>
    <row r="948" s="44" customFormat="1" ht="13.2"/>
    <row r="949" s="44" customFormat="1" ht="13.2"/>
    <row r="950" s="44" customFormat="1" ht="13.2"/>
    <row r="951" s="44" customFormat="1" ht="13.2"/>
    <row r="952" s="44" customFormat="1" ht="13.2"/>
    <row r="953" s="44" customFormat="1" ht="13.2"/>
    <row r="954" s="44" customFormat="1" ht="13.2"/>
    <row r="955" s="44" customFormat="1" ht="13.2"/>
    <row r="956" s="44" customFormat="1" ht="13.2"/>
    <row r="957" s="44" customFormat="1" ht="13.2"/>
    <row r="958" s="44" customFormat="1" ht="13.2"/>
    <row r="959" s="44" customFormat="1" ht="13.2"/>
    <row r="960" s="44" customFormat="1" ht="13.2"/>
    <row r="961" s="44" customFormat="1" ht="13.2"/>
    <row r="962" s="44" customFormat="1" ht="13.2"/>
    <row r="963" s="44" customFormat="1" ht="13.2"/>
    <row r="964" s="44" customFormat="1" ht="13.2"/>
    <row r="965" s="44" customFormat="1" ht="13.2"/>
    <row r="966" s="44" customFormat="1" ht="13.2"/>
    <row r="967" s="44" customFormat="1" ht="13.2"/>
    <row r="968" s="44" customFormat="1" ht="13.2"/>
    <row r="969" s="44" customFormat="1" ht="13.2"/>
    <row r="970" s="44" customFormat="1" ht="13.2"/>
    <row r="971" s="44" customFormat="1" ht="13.2"/>
    <row r="972" s="44" customFormat="1" ht="13.2"/>
    <row r="973" s="44" customFormat="1" ht="13.2"/>
    <row r="974" s="44" customFormat="1" ht="13.2"/>
    <row r="975" s="44" customFormat="1" ht="13.2"/>
    <row r="976" s="44" customFormat="1" ht="13.2"/>
    <row r="977" s="44" customFormat="1" ht="13.2"/>
    <row r="978" s="44" customFormat="1" ht="13.2"/>
    <row r="979" s="44" customFormat="1" ht="13.2"/>
    <row r="980" s="44" customFormat="1" ht="13.2"/>
    <row r="981" s="44" customFormat="1" ht="13.2"/>
    <row r="982" s="44" customFormat="1" ht="13.2"/>
    <row r="983" s="44" customFormat="1" ht="13.2"/>
    <row r="984" s="44" customFormat="1" ht="13.2"/>
    <row r="985" s="44" customFormat="1" ht="13.2"/>
    <row r="986" s="44" customFormat="1" ht="13.2"/>
    <row r="987" s="44" customFormat="1" ht="13.2"/>
    <row r="988" s="44" customFormat="1" ht="13.2"/>
    <row r="989" s="44" customFormat="1" ht="13.2"/>
    <row r="990" s="44" customFormat="1" ht="13.2"/>
    <row r="991" s="44" customFormat="1" ht="13.2"/>
    <row r="992" s="44" customFormat="1" ht="13.2"/>
    <row r="993" s="44" customFormat="1" ht="13.2"/>
    <row r="994" s="44" customFormat="1" ht="13.2"/>
    <row r="995" s="44" customFormat="1" ht="13.2"/>
    <row r="996" s="44" customFormat="1" ht="13.2"/>
    <row r="997" s="44" customFormat="1" ht="13.2"/>
    <row r="998" s="44" customFormat="1" ht="13.2"/>
    <row r="999" s="44" customFormat="1" ht="13.2"/>
    <row r="1000" s="44" customFormat="1" ht="13.2"/>
  </sheetData>
  <mergeCells count="16">
    <mergeCell ref="B38:M38"/>
    <mergeCell ref="V4:X4"/>
    <mergeCell ref="B23:M23"/>
    <mergeCell ref="B24:M24"/>
    <mergeCell ref="B27:M27"/>
    <mergeCell ref="B33:M33"/>
    <mergeCell ref="Q1:W2"/>
    <mergeCell ref="B25:M25"/>
    <mergeCell ref="V25:W25"/>
    <mergeCell ref="B26:M26"/>
    <mergeCell ref="B28:M28"/>
    <mergeCell ref="B29:M29"/>
    <mergeCell ref="B30:M30"/>
    <mergeCell ref="B31:M31"/>
    <mergeCell ref="B32:M32"/>
    <mergeCell ref="Q4:R4"/>
  </mergeCells>
  <conditionalFormatting sqref="T4 X4 T6:T17 X6:X19">
    <cfRule type="containsText" dxfId="0" priority="1" operator="containsText" text="VB">
      <formula>NOT(ISERROR(SEARCH("VB",T4)))</formula>
    </cfRule>
  </conditionalFormatting>
  <hyperlinks>
    <hyperlink ref="R21" r:id="rId1" xr:uid="{4929B8C6-026E-4E28-AAE6-37CD0D991BE2}"/>
    <hyperlink ref="R24" r:id="rId2" xr:uid="{81B82E18-3800-4D1A-B590-338FD0940C18}"/>
    <hyperlink ref="V24" r:id="rId3" xr:uid="{1114CA5D-C8C6-4842-8222-17B8B055B999}"/>
    <hyperlink ref="R31" r:id="rId4" xr:uid="{90420B15-1BAD-40F5-A3E8-159754839431}"/>
    <hyperlink ref="C3" r:id="rId5" xr:uid="{10C1D870-7CB7-41DC-B7B8-CFA135D00521}"/>
    <hyperlink ref="B3" r:id="rId6" xr:uid="{A2C20DCA-DA73-42AA-8DFE-B55F68EA7634}"/>
    <hyperlink ref="B38:M38" r:id="rId7" display="FECHA INGRESO CARPETA RECEPCIÓN MUNICIPAL" xr:uid="{4A57B094-5B3D-4C25-A2B7-B2A7499D9B82}"/>
  </hyperlink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X1000"/>
  <sheetViews>
    <sheetView zoomScale="90" zoomScaleNormal="90" workbookViewId="0">
      <pane ySplit="4" topLeftCell="A11" activePane="bottomLeft" state="frozen"/>
      <selection pane="bottomLeft"/>
    </sheetView>
  </sheetViews>
  <sheetFormatPr defaultColWidth="11.44140625" defaultRowHeight="15" customHeight="1"/>
  <cols>
    <col min="1" max="1" width="7.21875" style="151" customWidth="1"/>
    <col min="2" max="2" width="23.5546875" style="151" customWidth="1"/>
    <col min="3" max="3" width="14" style="151" hidden="1" customWidth="1"/>
    <col min="4" max="4" width="17.21875" style="151" customWidth="1"/>
    <col min="5" max="5" width="13.77734375" style="151" customWidth="1"/>
    <col min="6" max="6" width="15.77734375" style="151" customWidth="1"/>
    <col min="7" max="7" width="19.44140625" style="151" customWidth="1"/>
    <col min="8" max="8" width="25.21875" style="151" customWidth="1"/>
    <col min="9" max="9" width="9.44140625" style="564" customWidth="1"/>
    <col min="10" max="10" width="7.77734375" style="564" bestFit="1" customWidth="1"/>
    <col min="11" max="11" width="8.21875" style="564" bestFit="1" customWidth="1"/>
    <col min="12" max="12" width="11" style="564" customWidth="1"/>
    <col min="13" max="13" width="30" style="151" customWidth="1"/>
    <col min="14" max="14" width="25.21875" style="151" customWidth="1"/>
    <col min="15" max="15" width="13.77734375" style="151" customWidth="1"/>
    <col min="16" max="16" width="16" style="565" customWidth="1"/>
    <col min="17" max="17" width="13.21875" style="565" customWidth="1"/>
    <col min="18" max="18" width="70.77734375" style="151" customWidth="1"/>
    <col min="19" max="19" width="11.44140625" style="143"/>
    <col min="20" max="16384" width="11.44140625" style="151"/>
  </cols>
  <sheetData>
    <row r="1" spans="1:19" s="143" customFormat="1" ht="28.5" customHeight="1" thickBot="1">
      <c r="B1" s="144" t="s">
        <v>500</v>
      </c>
      <c r="C1" s="145"/>
      <c r="D1" s="145"/>
      <c r="E1" s="145"/>
      <c r="F1" s="145"/>
      <c r="G1" s="145"/>
      <c r="H1" s="145"/>
      <c r="I1" s="145"/>
      <c r="J1" s="145"/>
      <c r="K1" s="145"/>
      <c r="L1" s="145"/>
      <c r="M1" s="145"/>
      <c r="N1" s="145"/>
      <c r="O1" s="145"/>
      <c r="P1" s="145"/>
      <c r="Q1" s="145"/>
      <c r="R1" s="146"/>
    </row>
    <row r="2" spans="1:19" s="143" customFormat="1" ht="27" customHeight="1" thickBot="1">
      <c r="B2" s="147" t="s">
        <v>226</v>
      </c>
      <c r="C2" s="147"/>
      <c r="D2" s="148" t="s">
        <v>501</v>
      </c>
      <c r="E2" s="149"/>
      <c r="F2" s="148"/>
      <c r="G2" s="150"/>
      <c r="H2" s="150"/>
      <c r="I2" s="149"/>
      <c r="J2" s="149"/>
      <c r="K2" s="149"/>
      <c r="L2" s="149"/>
      <c r="M2" s="150"/>
      <c r="N2" s="150"/>
      <c r="O2" s="150"/>
      <c r="P2" s="149"/>
      <c r="Q2" s="149"/>
      <c r="R2" s="150"/>
    </row>
    <row r="3" spans="1:19" ht="30.75" customHeight="1" thickBot="1">
      <c r="B3" s="152" t="s">
        <v>227</v>
      </c>
      <c r="C3" s="153"/>
      <c r="D3" s="154"/>
      <c r="E3" s="155"/>
      <c r="F3" s="154"/>
      <c r="G3" s="156"/>
      <c r="H3" s="156"/>
      <c r="I3" s="157"/>
      <c r="J3" s="157"/>
      <c r="K3" s="157"/>
      <c r="L3" s="157"/>
      <c r="M3" s="156"/>
      <c r="N3" s="156"/>
      <c r="O3" s="156"/>
      <c r="P3" s="155"/>
      <c r="Q3" s="155"/>
      <c r="R3" s="158"/>
    </row>
    <row r="4" spans="1:19" s="159" customFormat="1" ht="61.5" customHeight="1" thickBot="1">
      <c r="B4" s="160" t="s">
        <v>228</v>
      </c>
      <c r="C4" s="161" t="s">
        <v>229</v>
      </c>
      <c r="D4" s="162" t="s">
        <v>230</v>
      </c>
      <c r="E4" s="163" t="s">
        <v>231</v>
      </c>
      <c r="F4" s="161" t="s">
        <v>232</v>
      </c>
      <c r="G4" s="161" t="s">
        <v>233</v>
      </c>
      <c r="H4" s="164" t="s">
        <v>85</v>
      </c>
      <c r="I4" s="160" t="s">
        <v>234</v>
      </c>
      <c r="J4" s="165" t="s">
        <v>235</v>
      </c>
      <c r="K4" s="160" t="s">
        <v>236</v>
      </c>
      <c r="L4" s="165" t="s">
        <v>237</v>
      </c>
      <c r="M4" s="166" t="s">
        <v>238</v>
      </c>
      <c r="N4" s="161" t="s">
        <v>239</v>
      </c>
      <c r="O4" s="164" t="s">
        <v>240</v>
      </c>
      <c r="P4" s="167" t="s">
        <v>502</v>
      </c>
      <c r="Q4" s="164" t="s">
        <v>241</v>
      </c>
      <c r="R4" s="168" t="s">
        <v>242</v>
      </c>
    </row>
    <row r="5" spans="1:19" ht="57.75" hidden="1" customHeight="1">
      <c r="B5" s="169" t="s">
        <v>503</v>
      </c>
      <c r="C5" s="170" t="s">
        <v>243</v>
      </c>
      <c r="D5" s="171" t="s">
        <v>27</v>
      </c>
      <c r="E5" s="172">
        <v>210000</v>
      </c>
      <c r="F5" s="173" t="s">
        <v>244</v>
      </c>
      <c r="G5" s="174" t="s">
        <v>244</v>
      </c>
      <c r="H5" s="175" t="s">
        <v>245</v>
      </c>
      <c r="I5" s="176">
        <v>0</v>
      </c>
      <c r="J5" s="177">
        <v>0</v>
      </c>
      <c r="K5" s="176">
        <v>0</v>
      </c>
      <c r="L5" s="177">
        <v>0</v>
      </c>
      <c r="M5" s="178" t="s">
        <v>27</v>
      </c>
      <c r="N5" s="179" t="s">
        <v>504</v>
      </c>
      <c r="O5" s="180"/>
      <c r="P5" s="181" t="s">
        <v>246</v>
      </c>
      <c r="Q5" s="182">
        <v>0.02</v>
      </c>
      <c r="R5" s="183"/>
    </row>
    <row r="6" spans="1:19" ht="58.5" hidden="1" customHeight="1">
      <c r="B6" s="184"/>
      <c r="C6" s="185"/>
      <c r="D6" s="186"/>
      <c r="E6" s="187"/>
      <c r="F6" s="188"/>
      <c r="G6" s="189"/>
      <c r="H6" s="190" t="s">
        <v>247</v>
      </c>
      <c r="I6" s="191">
        <v>0</v>
      </c>
      <c r="J6" s="192">
        <v>1</v>
      </c>
      <c r="K6" s="191">
        <v>0</v>
      </c>
      <c r="L6" s="192">
        <v>1</v>
      </c>
      <c r="M6" s="193"/>
      <c r="N6" s="194"/>
      <c r="O6" s="195"/>
      <c r="P6" s="196" t="s">
        <v>246</v>
      </c>
      <c r="Q6" s="197"/>
      <c r="R6" s="198" t="s">
        <v>248</v>
      </c>
    </row>
    <row r="7" spans="1:19" ht="54" hidden="1" customHeight="1">
      <c r="B7" s="184"/>
      <c r="C7" s="185"/>
      <c r="D7" s="199"/>
      <c r="E7" s="187"/>
      <c r="F7" s="188"/>
      <c r="G7" s="189"/>
      <c r="H7" s="190" t="s">
        <v>249</v>
      </c>
      <c r="I7" s="191">
        <v>1</v>
      </c>
      <c r="J7" s="192">
        <v>1</v>
      </c>
      <c r="K7" s="191">
        <v>1</v>
      </c>
      <c r="L7" s="192">
        <v>1</v>
      </c>
      <c r="M7" s="193"/>
      <c r="N7" s="200"/>
      <c r="O7" s="195"/>
      <c r="P7" s="196" t="s">
        <v>246</v>
      </c>
      <c r="Q7" s="197">
        <v>0.02</v>
      </c>
      <c r="R7" s="201"/>
    </row>
    <row r="8" spans="1:19" ht="49.5" hidden="1" customHeight="1" thickBot="1">
      <c r="B8" s="184"/>
      <c r="C8" s="185"/>
      <c r="D8" s="199"/>
      <c r="E8" s="187"/>
      <c r="F8" s="188"/>
      <c r="G8" s="189"/>
      <c r="H8" s="202" t="s">
        <v>250</v>
      </c>
      <c r="I8" s="191">
        <v>1</v>
      </c>
      <c r="J8" s="192">
        <v>1</v>
      </c>
      <c r="K8" s="191">
        <v>1</v>
      </c>
      <c r="L8" s="192">
        <v>1</v>
      </c>
      <c r="M8" s="193"/>
      <c r="N8" s="203"/>
      <c r="O8" s="204" t="s">
        <v>251</v>
      </c>
      <c r="P8" s="205" t="s">
        <v>246</v>
      </c>
      <c r="Q8" s="206">
        <v>0.02</v>
      </c>
      <c r="R8" s="207"/>
    </row>
    <row r="9" spans="1:19" ht="43.5" hidden="1" customHeight="1">
      <c r="B9" s="184"/>
      <c r="C9" s="185"/>
      <c r="D9" s="199"/>
      <c r="E9" s="187"/>
      <c r="F9" s="188"/>
      <c r="G9" s="189"/>
      <c r="H9" s="190" t="s">
        <v>65</v>
      </c>
      <c r="I9" s="191">
        <v>1</v>
      </c>
      <c r="J9" s="192">
        <v>1</v>
      </c>
      <c r="K9" s="191">
        <v>1</v>
      </c>
      <c r="L9" s="192">
        <v>1</v>
      </c>
      <c r="M9" s="193"/>
      <c r="N9" s="203"/>
      <c r="O9" s="208"/>
      <c r="P9" s="196" t="s">
        <v>246</v>
      </c>
      <c r="Q9" s="197">
        <v>0.02</v>
      </c>
    </row>
    <row r="10" spans="1:19" ht="41.25" hidden="1" customHeight="1" thickBot="1">
      <c r="B10" s="184"/>
      <c r="C10" s="185"/>
      <c r="D10" s="199"/>
      <c r="E10" s="187"/>
      <c r="F10" s="188"/>
      <c r="G10" s="189"/>
      <c r="H10" s="190" t="s">
        <v>252</v>
      </c>
      <c r="I10" s="191">
        <v>1</v>
      </c>
      <c r="J10" s="192">
        <v>1</v>
      </c>
      <c r="K10" s="191">
        <v>1</v>
      </c>
      <c r="L10" s="192">
        <v>1</v>
      </c>
      <c r="M10" s="193"/>
      <c r="N10" s="203"/>
      <c r="O10" s="195"/>
      <c r="P10" s="209" t="s">
        <v>246</v>
      </c>
      <c r="Q10" s="206"/>
      <c r="R10" s="210"/>
    </row>
    <row r="11" spans="1:19" ht="36" customHeight="1">
      <c r="B11" s="169" t="s">
        <v>505</v>
      </c>
      <c r="C11" s="170" t="s">
        <v>253</v>
      </c>
      <c r="D11" s="170" t="s">
        <v>27</v>
      </c>
      <c r="E11" s="211">
        <v>249000</v>
      </c>
      <c r="F11" s="173" t="s">
        <v>244</v>
      </c>
      <c r="G11" s="174" t="s">
        <v>244</v>
      </c>
      <c r="H11" s="175" t="s">
        <v>4</v>
      </c>
      <c r="I11" s="176">
        <v>0</v>
      </c>
      <c r="J11" s="177">
        <v>0</v>
      </c>
      <c r="K11" s="176">
        <v>1</v>
      </c>
      <c r="L11" s="177">
        <v>1</v>
      </c>
      <c r="M11" s="178" t="s">
        <v>27</v>
      </c>
      <c r="N11" s="171" t="s">
        <v>506</v>
      </c>
      <c r="O11" s="212"/>
      <c r="P11" s="213" t="s">
        <v>246</v>
      </c>
      <c r="Q11" s="214"/>
      <c r="R11" s="215" t="s">
        <v>507</v>
      </c>
      <c r="S11" s="216" t="s">
        <v>1</v>
      </c>
    </row>
    <row r="12" spans="1:19" ht="60" customHeight="1">
      <c r="A12"/>
      <c r="B12" s="184"/>
      <c r="C12" s="217"/>
      <c r="D12" s="185"/>
      <c r="E12" s="218"/>
      <c r="F12" s="188"/>
      <c r="G12" s="189"/>
      <c r="H12" s="202" t="s">
        <v>247</v>
      </c>
      <c r="I12" s="191">
        <v>1</v>
      </c>
      <c r="J12" s="192">
        <v>1</v>
      </c>
      <c r="K12" s="191">
        <v>1</v>
      </c>
      <c r="L12" s="192">
        <v>1</v>
      </c>
      <c r="M12" s="219"/>
      <c r="N12" s="186"/>
      <c r="O12" s="220"/>
      <c r="P12" s="213" t="s">
        <v>246</v>
      </c>
      <c r="Q12" s="214"/>
      <c r="R12" s="221" t="s">
        <v>254</v>
      </c>
      <c r="S12" s="222"/>
    </row>
    <row r="13" spans="1:19" ht="57" customHeight="1">
      <c r="A13" t="s">
        <v>297</v>
      </c>
      <c r="B13" s="184"/>
      <c r="C13" s="217"/>
      <c r="D13" s="185"/>
      <c r="E13" s="218"/>
      <c r="F13" s="188"/>
      <c r="G13" s="189"/>
      <c r="H13" s="202" t="s">
        <v>249</v>
      </c>
      <c r="I13" s="191">
        <v>1</v>
      </c>
      <c r="J13" s="192">
        <v>1</v>
      </c>
      <c r="K13" s="191">
        <v>1</v>
      </c>
      <c r="L13" s="192">
        <v>1</v>
      </c>
      <c r="M13" s="219"/>
      <c r="N13" s="186"/>
      <c r="O13" s="220"/>
      <c r="P13" s="213" t="s">
        <v>246</v>
      </c>
      <c r="Q13" s="214"/>
      <c r="R13" s="223" t="s">
        <v>508</v>
      </c>
      <c r="S13" s="222"/>
    </row>
    <row r="14" spans="1:19" ht="50.55" customHeight="1">
      <c r="B14" s="184"/>
      <c r="C14" s="217"/>
      <c r="D14" s="185"/>
      <c r="E14" s="218"/>
      <c r="F14" s="188"/>
      <c r="G14" s="189"/>
      <c r="H14" s="202" t="s">
        <v>250</v>
      </c>
      <c r="I14" s="191">
        <v>1</v>
      </c>
      <c r="J14" s="192">
        <v>1</v>
      </c>
      <c r="K14" s="191">
        <v>1</v>
      </c>
      <c r="L14" s="192">
        <v>1</v>
      </c>
      <c r="M14" s="219"/>
      <c r="N14" s="186"/>
      <c r="O14" s="220"/>
      <c r="P14" s="224">
        <v>0.27</v>
      </c>
      <c r="Q14" s="214"/>
      <c r="R14" s="225" t="s">
        <v>256</v>
      </c>
      <c r="S14" s="222"/>
    </row>
    <row r="15" spans="1:19" ht="25.05" customHeight="1">
      <c r="B15" s="184"/>
      <c r="C15" s="217"/>
      <c r="D15" s="185"/>
      <c r="E15" s="218"/>
      <c r="F15" s="188"/>
      <c r="G15" s="189"/>
      <c r="H15" s="202" t="s">
        <v>61</v>
      </c>
      <c r="I15" s="191">
        <v>1</v>
      </c>
      <c r="J15" s="192">
        <v>1</v>
      </c>
      <c r="K15" s="191">
        <v>1</v>
      </c>
      <c r="L15" s="192">
        <v>1</v>
      </c>
      <c r="M15" s="219"/>
      <c r="N15" s="186"/>
      <c r="O15" s="220"/>
      <c r="P15" s="224">
        <v>0.27</v>
      </c>
      <c r="Q15" s="214"/>
      <c r="R15" s="225" t="s">
        <v>257</v>
      </c>
      <c r="S15" s="222"/>
    </row>
    <row r="16" spans="1:19" ht="25.05" customHeight="1">
      <c r="B16" s="184"/>
      <c r="C16" s="217"/>
      <c r="D16" s="185"/>
      <c r="E16" s="218"/>
      <c r="F16" s="188"/>
      <c r="G16" s="189"/>
      <c r="H16" s="202" t="s">
        <v>65</v>
      </c>
      <c r="I16" s="191">
        <v>1</v>
      </c>
      <c r="J16" s="192">
        <v>1</v>
      </c>
      <c r="K16" s="191">
        <v>1</v>
      </c>
      <c r="L16" s="192">
        <v>1</v>
      </c>
      <c r="M16" s="219"/>
      <c r="N16" s="186"/>
      <c r="O16" s="220"/>
      <c r="P16" s="213" t="s">
        <v>246</v>
      </c>
      <c r="Q16" s="214"/>
      <c r="R16" s="226" t="s">
        <v>258</v>
      </c>
      <c r="S16" s="222"/>
    </row>
    <row r="17" spans="1:19" ht="48.75" customHeight="1" thickBot="1">
      <c r="B17" s="227"/>
      <c r="C17" s="228"/>
      <c r="D17" s="229"/>
      <c r="E17" s="230"/>
      <c r="F17" s="231"/>
      <c r="G17" s="232"/>
      <c r="H17" s="233" t="s">
        <v>259</v>
      </c>
      <c r="I17" s="234">
        <v>1</v>
      </c>
      <c r="J17" s="235">
        <v>1</v>
      </c>
      <c r="K17" s="234">
        <v>1</v>
      </c>
      <c r="L17" s="235">
        <v>1</v>
      </c>
      <c r="M17" s="236"/>
      <c r="N17" s="237"/>
      <c r="O17" s="238"/>
      <c r="P17" s="239" t="s">
        <v>246</v>
      </c>
      <c r="Q17" s="240"/>
      <c r="R17" s="241"/>
      <c r="S17" s="242"/>
    </row>
    <row r="18" spans="1:19" ht="51.75" customHeight="1">
      <c r="B18" s="169" t="s">
        <v>509</v>
      </c>
      <c r="C18" s="170" t="s">
        <v>243</v>
      </c>
      <c r="D18" s="170" t="s">
        <v>27</v>
      </c>
      <c r="E18" s="211">
        <v>218000</v>
      </c>
      <c r="F18" s="173" t="s">
        <v>244</v>
      </c>
      <c r="G18" s="174" t="s">
        <v>244</v>
      </c>
      <c r="H18" s="175" t="s">
        <v>4</v>
      </c>
      <c r="I18" s="243">
        <v>0</v>
      </c>
      <c r="J18" s="244">
        <v>0</v>
      </c>
      <c r="K18" s="243">
        <v>1</v>
      </c>
      <c r="L18" s="244">
        <v>1</v>
      </c>
      <c r="M18" s="245" t="s">
        <v>27</v>
      </c>
      <c r="N18" s="179" t="s">
        <v>510</v>
      </c>
      <c r="O18" s="212"/>
      <c r="P18" s="246" t="s">
        <v>246</v>
      </c>
      <c r="Q18" s="182"/>
      <c r="R18" s="215" t="s">
        <v>511</v>
      </c>
      <c r="S18" s="247" t="s">
        <v>1</v>
      </c>
    </row>
    <row r="19" spans="1:19" ht="60" customHeight="1">
      <c r="B19" s="184"/>
      <c r="C19" s="217"/>
      <c r="D19" s="185"/>
      <c r="E19" s="218"/>
      <c r="F19" s="188"/>
      <c r="G19" s="248"/>
      <c r="H19" s="202" t="s">
        <v>247</v>
      </c>
      <c r="I19" s="249">
        <v>0</v>
      </c>
      <c r="J19" s="250">
        <v>0</v>
      </c>
      <c r="K19" s="249">
        <v>1</v>
      </c>
      <c r="L19" s="250">
        <v>1</v>
      </c>
      <c r="M19" s="251"/>
      <c r="N19" s="200"/>
      <c r="O19" s="220"/>
      <c r="P19" s="252" t="s">
        <v>246</v>
      </c>
      <c r="Q19" s="197"/>
      <c r="R19" s="221" t="s">
        <v>254</v>
      </c>
      <c r="S19" s="253"/>
    </row>
    <row r="20" spans="1:19" ht="54" customHeight="1">
      <c r="A20"/>
      <c r="B20" s="184"/>
      <c r="C20" s="217"/>
      <c r="D20" s="185"/>
      <c r="E20" s="218"/>
      <c r="F20" s="188"/>
      <c r="G20" s="248"/>
      <c r="H20" s="202" t="s">
        <v>249</v>
      </c>
      <c r="I20" s="249">
        <v>0</v>
      </c>
      <c r="J20" s="250">
        <v>0</v>
      </c>
      <c r="K20" s="249">
        <v>1</v>
      </c>
      <c r="L20" s="250">
        <v>1</v>
      </c>
      <c r="M20" s="251"/>
      <c r="N20" s="200"/>
      <c r="O20" s="220"/>
      <c r="P20" s="196" t="s">
        <v>246</v>
      </c>
      <c r="Q20" s="197"/>
      <c r="R20" s="223" t="s">
        <v>512</v>
      </c>
      <c r="S20" s="253"/>
    </row>
    <row r="21" spans="1:19" ht="30.75" customHeight="1">
      <c r="A21" t="s">
        <v>297</v>
      </c>
      <c r="B21" s="184"/>
      <c r="C21" s="217"/>
      <c r="D21" s="185"/>
      <c r="E21" s="218"/>
      <c r="F21" s="188"/>
      <c r="G21" s="248"/>
      <c r="H21" s="202" t="s">
        <v>250</v>
      </c>
      <c r="I21" s="191">
        <v>0</v>
      </c>
      <c r="J21" s="192">
        <v>0</v>
      </c>
      <c r="K21" s="191">
        <v>1</v>
      </c>
      <c r="L21" s="192">
        <v>1</v>
      </c>
      <c r="M21" s="251"/>
      <c r="N21" s="200"/>
      <c r="O21" s="220"/>
      <c r="P21" s="196" t="s">
        <v>246</v>
      </c>
      <c r="Q21" s="197"/>
      <c r="R21" s="210"/>
      <c r="S21" s="253"/>
    </row>
    <row r="22" spans="1:19" ht="28.5" customHeight="1">
      <c r="B22" s="184"/>
      <c r="C22" s="217"/>
      <c r="D22" s="185"/>
      <c r="E22" s="218"/>
      <c r="F22" s="188"/>
      <c r="G22" s="248"/>
      <c r="H22" s="202" t="s">
        <v>61</v>
      </c>
      <c r="I22" s="191">
        <v>0</v>
      </c>
      <c r="J22" s="192">
        <v>1</v>
      </c>
      <c r="K22" s="191">
        <v>1</v>
      </c>
      <c r="L22" s="192">
        <v>1</v>
      </c>
      <c r="M22" s="251"/>
      <c r="N22" s="200"/>
      <c r="O22" s="220"/>
      <c r="P22" s="196" t="s">
        <v>246</v>
      </c>
      <c r="Q22" s="197"/>
      <c r="R22" s="225" t="s">
        <v>260</v>
      </c>
      <c r="S22" s="253"/>
    </row>
    <row r="23" spans="1:19" ht="54" customHeight="1">
      <c r="B23" s="184"/>
      <c r="C23" s="217"/>
      <c r="D23" s="185"/>
      <c r="E23" s="218"/>
      <c r="F23" s="188"/>
      <c r="G23" s="248"/>
      <c r="H23" s="202" t="s">
        <v>261</v>
      </c>
      <c r="I23" s="191">
        <v>0</v>
      </c>
      <c r="J23" s="192">
        <v>1</v>
      </c>
      <c r="K23" s="191">
        <v>1</v>
      </c>
      <c r="L23" s="192">
        <v>1</v>
      </c>
      <c r="M23" s="251"/>
      <c r="N23" s="200"/>
      <c r="O23" s="220"/>
      <c r="P23" s="196" t="s">
        <v>246</v>
      </c>
      <c r="Q23" s="197"/>
      <c r="R23" s="210"/>
      <c r="S23" s="253"/>
    </row>
    <row r="24" spans="1:19" ht="20.25" customHeight="1">
      <c r="B24" s="184"/>
      <c r="C24" s="217"/>
      <c r="D24" s="185"/>
      <c r="E24" s="218"/>
      <c r="F24" s="188"/>
      <c r="G24" s="248"/>
      <c r="H24" s="202" t="s">
        <v>65</v>
      </c>
      <c r="I24" s="191">
        <v>0</v>
      </c>
      <c r="J24" s="192">
        <v>1</v>
      </c>
      <c r="K24" s="191">
        <v>1</v>
      </c>
      <c r="L24" s="192">
        <v>1</v>
      </c>
      <c r="M24" s="251"/>
      <c r="N24" s="200"/>
      <c r="O24" s="220"/>
      <c r="P24" s="196" t="s">
        <v>246</v>
      </c>
      <c r="Q24" s="197"/>
      <c r="R24" s="226" t="s">
        <v>258</v>
      </c>
      <c r="S24" s="253"/>
    </row>
    <row r="25" spans="1:19" ht="66.75" customHeight="1" thickBot="1">
      <c r="B25" s="227"/>
      <c r="C25" s="228"/>
      <c r="D25" s="229"/>
      <c r="E25" s="230"/>
      <c r="F25" s="231"/>
      <c r="G25" s="254"/>
      <c r="H25" s="233" t="s">
        <v>69</v>
      </c>
      <c r="I25" s="234">
        <v>0</v>
      </c>
      <c r="J25" s="235">
        <v>1</v>
      </c>
      <c r="K25" s="234">
        <v>1</v>
      </c>
      <c r="L25" s="235">
        <v>1</v>
      </c>
      <c r="M25" s="255"/>
      <c r="N25" s="256"/>
      <c r="O25" s="238"/>
      <c r="P25" s="257">
        <v>0.2</v>
      </c>
      <c r="Q25" s="206"/>
      <c r="R25" s="241"/>
      <c r="S25" s="258"/>
    </row>
    <row r="26" spans="1:19" ht="35.25" customHeight="1" thickBot="1">
      <c r="B26" s="169" t="s">
        <v>513</v>
      </c>
      <c r="C26" s="259"/>
      <c r="D26" s="259"/>
      <c r="E26" s="260"/>
      <c r="F26" s="261"/>
      <c r="G26" s="262"/>
      <c r="H26" s="263" t="s">
        <v>262</v>
      </c>
      <c r="I26" s="264">
        <v>1</v>
      </c>
      <c r="J26" s="265">
        <v>1</v>
      </c>
      <c r="K26" s="264">
        <v>1</v>
      </c>
      <c r="L26" s="265">
        <v>1</v>
      </c>
      <c r="M26" s="266" t="s">
        <v>27</v>
      </c>
      <c r="N26" s="186" t="s">
        <v>514</v>
      </c>
      <c r="O26" s="267"/>
      <c r="P26" s="268">
        <v>0.2</v>
      </c>
      <c r="Q26" s="269"/>
      <c r="R26" s="215" t="s">
        <v>515</v>
      </c>
      <c r="S26" s="216" t="s">
        <v>1</v>
      </c>
    </row>
    <row r="27" spans="1:19" ht="63.75" customHeight="1" thickBot="1">
      <c r="A27" t="s">
        <v>255</v>
      </c>
      <c r="B27" s="184"/>
      <c r="C27" s="270" t="s">
        <v>243</v>
      </c>
      <c r="D27" s="271" t="s">
        <v>27</v>
      </c>
      <c r="E27" s="272">
        <v>225000</v>
      </c>
      <c r="F27" s="273" t="s">
        <v>244</v>
      </c>
      <c r="G27" s="274"/>
      <c r="H27" s="275" t="s">
        <v>263</v>
      </c>
      <c r="I27" s="264">
        <v>1</v>
      </c>
      <c r="J27" s="265">
        <v>1</v>
      </c>
      <c r="K27" s="264">
        <v>1</v>
      </c>
      <c r="L27" s="265">
        <v>1</v>
      </c>
      <c r="M27" s="276"/>
      <c r="N27" s="186"/>
      <c r="O27" s="277"/>
      <c r="P27" s="278">
        <v>0.17399999999999999</v>
      </c>
      <c r="Q27" s="279"/>
      <c r="R27" s="280"/>
      <c r="S27" s="222"/>
    </row>
    <row r="28" spans="1:19" ht="45.75" customHeight="1">
      <c r="A28"/>
      <c r="B28" s="184"/>
      <c r="C28" s="281"/>
      <c r="D28" s="281"/>
      <c r="E28" s="272"/>
      <c r="F28" s="282"/>
      <c r="G28" s="283" t="s">
        <v>244</v>
      </c>
      <c r="H28" s="284"/>
      <c r="I28" s="264"/>
      <c r="J28" s="265"/>
      <c r="K28" s="264"/>
      <c r="L28" s="265"/>
      <c r="M28" s="276"/>
      <c r="N28" s="186"/>
      <c r="O28" s="277"/>
      <c r="P28" s="285"/>
      <c r="Q28" s="286"/>
      <c r="R28" s="223" t="s">
        <v>516</v>
      </c>
      <c r="S28" s="222"/>
    </row>
    <row r="29" spans="1:19" ht="45.75" customHeight="1" thickBot="1">
      <c r="B29" s="184"/>
      <c r="C29" s="281"/>
      <c r="D29" s="281"/>
      <c r="E29" s="272"/>
      <c r="F29" s="282"/>
      <c r="G29" s="287"/>
      <c r="H29" s="202"/>
      <c r="I29" s="234"/>
      <c r="J29" s="235"/>
      <c r="K29" s="234"/>
      <c r="L29" s="235"/>
      <c r="M29" s="276"/>
      <c r="N29" s="186"/>
      <c r="O29" s="277"/>
      <c r="P29" s="268"/>
      <c r="Q29" s="288"/>
      <c r="R29" s="289" t="s">
        <v>264</v>
      </c>
      <c r="S29" s="222"/>
    </row>
    <row r="30" spans="1:19" ht="55.5" hidden="1" customHeight="1">
      <c r="B30" s="169" t="s">
        <v>517</v>
      </c>
      <c r="C30" s="171" t="s">
        <v>243</v>
      </c>
      <c r="D30" s="170" t="s">
        <v>27</v>
      </c>
      <c r="E30" s="172">
        <v>216000</v>
      </c>
      <c r="F30" s="173" t="s">
        <v>244</v>
      </c>
      <c r="G30" s="174" t="s">
        <v>244</v>
      </c>
      <c r="H30" s="175" t="s">
        <v>247</v>
      </c>
      <c r="I30" s="176">
        <v>0</v>
      </c>
      <c r="J30" s="177">
        <v>0</v>
      </c>
      <c r="K30" s="176">
        <v>1</v>
      </c>
      <c r="L30" s="177">
        <v>1</v>
      </c>
      <c r="M30" s="290" t="s">
        <v>27</v>
      </c>
      <c r="N30" s="171" t="s">
        <v>518</v>
      </c>
      <c r="O30" s="291"/>
      <c r="P30" s="292" t="s">
        <v>246</v>
      </c>
      <c r="Q30" s="293"/>
      <c r="R30" s="215" t="s">
        <v>519</v>
      </c>
      <c r="S30" s="216" t="s">
        <v>1</v>
      </c>
    </row>
    <row r="31" spans="1:19" ht="64.5" hidden="1" customHeight="1">
      <c r="A31"/>
      <c r="B31" s="184"/>
      <c r="C31" s="186"/>
      <c r="D31" s="185"/>
      <c r="E31" s="187"/>
      <c r="F31" s="294"/>
      <c r="G31" s="295"/>
      <c r="H31" s="190" t="s">
        <v>265</v>
      </c>
      <c r="I31" s="191">
        <v>0</v>
      </c>
      <c r="J31" s="192">
        <v>1</v>
      </c>
      <c r="K31" s="191">
        <v>1</v>
      </c>
      <c r="L31" s="192">
        <v>1</v>
      </c>
      <c r="M31" s="296"/>
      <c r="N31" s="186"/>
      <c r="O31" s="297"/>
      <c r="P31" s="298" t="s">
        <v>246</v>
      </c>
      <c r="Q31" s="299"/>
      <c r="R31" s="221" t="s">
        <v>254</v>
      </c>
      <c r="S31" s="222"/>
    </row>
    <row r="32" spans="1:19" ht="54" hidden="1" customHeight="1">
      <c r="A32"/>
      <c r="B32" s="184"/>
      <c r="C32" s="186"/>
      <c r="D32" s="185"/>
      <c r="E32" s="187"/>
      <c r="F32" s="294"/>
      <c r="G32" s="295"/>
      <c r="H32" s="202" t="s">
        <v>266</v>
      </c>
      <c r="I32" s="191">
        <v>0</v>
      </c>
      <c r="J32" s="192">
        <v>1</v>
      </c>
      <c r="K32" s="191">
        <v>1</v>
      </c>
      <c r="L32" s="192">
        <v>1</v>
      </c>
      <c r="M32" s="296"/>
      <c r="N32" s="186"/>
      <c r="O32" s="297"/>
      <c r="P32" s="298" t="s">
        <v>246</v>
      </c>
      <c r="Q32" s="299"/>
      <c r="R32" s="223" t="s">
        <v>520</v>
      </c>
      <c r="S32" s="222"/>
    </row>
    <row r="33" spans="1:19" ht="34.5" hidden="1" customHeight="1">
      <c r="B33" s="184"/>
      <c r="C33" s="186"/>
      <c r="D33" s="185"/>
      <c r="E33" s="187"/>
      <c r="F33" s="294"/>
      <c r="G33" s="295"/>
      <c r="H33" s="202" t="s">
        <v>267</v>
      </c>
      <c r="I33" s="191">
        <v>0</v>
      </c>
      <c r="J33" s="192">
        <v>1</v>
      </c>
      <c r="K33" s="191">
        <v>1</v>
      </c>
      <c r="L33" s="192">
        <v>1</v>
      </c>
      <c r="M33" s="296"/>
      <c r="N33" s="186"/>
      <c r="O33" s="204"/>
      <c r="P33" s="298" t="s">
        <v>246</v>
      </c>
      <c r="Q33" s="299"/>
      <c r="R33" s="300"/>
      <c r="S33" s="222"/>
    </row>
    <row r="34" spans="1:19" ht="32.25" hidden="1" customHeight="1">
      <c r="B34" s="227"/>
      <c r="C34" s="237"/>
      <c r="D34" s="229"/>
      <c r="E34" s="301"/>
      <c r="F34" s="302"/>
      <c r="G34" s="303"/>
      <c r="H34" s="233" t="s">
        <v>268</v>
      </c>
      <c r="I34" s="304">
        <v>1</v>
      </c>
      <c r="J34" s="305">
        <v>1</v>
      </c>
      <c r="K34" s="304">
        <v>1</v>
      </c>
      <c r="L34" s="305">
        <v>1</v>
      </c>
      <c r="M34" s="306"/>
      <c r="N34" s="237"/>
      <c r="O34" s="307"/>
      <c r="P34" s="308" t="s">
        <v>246</v>
      </c>
      <c r="Q34" s="309"/>
      <c r="R34" s="310" t="s">
        <v>258</v>
      </c>
      <c r="S34" s="222"/>
    </row>
    <row r="35" spans="1:19" ht="41.25" customHeight="1">
      <c r="B35" s="169" t="s">
        <v>521</v>
      </c>
      <c r="C35" s="170" t="s">
        <v>253</v>
      </c>
      <c r="D35" s="170" t="s">
        <v>27</v>
      </c>
      <c r="E35" s="211">
        <v>219000</v>
      </c>
      <c r="F35" s="173" t="s">
        <v>244</v>
      </c>
      <c r="G35" s="311" t="s">
        <v>244</v>
      </c>
      <c r="H35" s="263" t="s">
        <v>247</v>
      </c>
      <c r="I35" s="243">
        <v>1</v>
      </c>
      <c r="J35" s="244">
        <v>1</v>
      </c>
      <c r="K35" s="243">
        <v>0</v>
      </c>
      <c r="L35" s="244">
        <v>1</v>
      </c>
      <c r="M35" s="245" t="s">
        <v>27</v>
      </c>
      <c r="N35" s="179" t="s">
        <v>522</v>
      </c>
      <c r="O35" s="312"/>
      <c r="P35" s="313" t="s">
        <v>246</v>
      </c>
      <c r="Q35" s="314"/>
      <c r="R35" s="315" t="s">
        <v>523</v>
      </c>
    </row>
    <row r="36" spans="1:19" ht="71.25" customHeight="1">
      <c r="A36" t="s">
        <v>255</v>
      </c>
      <c r="B36" s="184"/>
      <c r="C36" s="217"/>
      <c r="D36" s="185"/>
      <c r="E36" s="218"/>
      <c r="F36" s="188"/>
      <c r="G36" s="316"/>
      <c r="H36" s="202" t="s">
        <v>249</v>
      </c>
      <c r="I36" s="191">
        <v>1</v>
      </c>
      <c r="J36" s="192">
        <v>1</v>
      </c>
      <c r="K36" s="191">
        <v>0</v>
      </c>
      <c r="L36" s="192">
        <v>1</v>
      </c>
      <c r="M36" s="317"/>
      <c r="N36" s="200"/>
      <c r="O36" s="318"/>
      <c r="P36" s="213" t="s">
        <v>246</v>
      </c>
      <c r="Q36" s="214"/>
      <c r="R36" s="221" t="s">
        <v>254</v>
      </c>
    </row>
    <row r="37" spans="1:19" ht="40.5" customHeight="1">
      <c r="A37"/>
      <c r="B37" s="184"/>
      <c r="C37" s="217"/>
      <c r="D37" s="185"/>
      <c r="E37" s="218"/>
      <c r="F37" s="188"/>
      <c r="G37" s="316"/>
      <c r="H37" s="202" t="s">
        <v>250</v>
      </c>
      <c r="I37" s="191">
        <v>1</v>
      </c>
      <c r="J37" s="192">
        <v>1</v>
      </c>
      <c r="K37" s="191">
        <v>0</v>
      </c>
      <c r="L37" s="192">
        <v>1</v>
      </c>
      <c r="M37" s="317"/>
      <c r="N37" s="200"/>
      <c r="O37" s="318"/>
      <c r="P37" s="213" t="s">
        <v>246</v>
      </c>
      <c r="Q37" s="214"/>
      <c r="R37" s="223" t="s">
        <v>524</v>
      </c>
    </row>
    <row r="38" spans="1:19" ht="33.75" customHeight="1">
      <c r="B38" s="184"/>
      <c r="C38" s="217"/>
      <c r="D38" s="185"/>
      <c r="E38" s="218"/>
      <c r="F38" s="188"/>
      <c r="G38" s="316"/>
      <c r="H38" s="202" t="s">
        <v>61</v>
      </c>
      <c r="I38" s="191">
        <v>1</v>
      </c>
      <c r="J38" s="192">
        <v>1</v>
      </c>
      <c r="K38" s="191">
        <v>0</v>
      </c>
      <c r="L38" s="192">
        <v>1</v>
      </c>
      <c r="M38" s="317"/>
      <c r="N38" s="200"/>
      <c r="O38" s="318"/>
      <c r="P38" s="213" t="s">
        <v>246</v>
      </c>
      <c r="Q38" s="214"/>
      <c r="R38" s="319"/>
    </row>
    <row r="39" spans="1:19" ht="25.05" customHeight="1">
      <c r="B39" s="184"/>
      <c r="C39" s="217"/>
      <c r="D39" s="185"/>
      <c r="E39" s="218"/>
      <c r="F39" s="188"/>
      <c r="G39" s="316"/>
      <c r="H39" s="202" t="s">
        <v>65</v>
      </c>
      <c r="I39" s="191">
        <v>1</v>
      </c>
      <c r="J39" s="192">
        <v>1</v>
      </c>
      <c r="K39" s="191">
        <v>0</v>
      </c>
      <c r="L39" s="192">
        <v>1</v>
      </c>
      <c r="M39" s="317"/>
      <c r="N39" s="200"/>
      <c r="O39" s="318"/>
      <c r="P39" s="213">
        <v>0.18</v>
      </c>
      <c r="Q39" s="214"/>
      <c r="R39" s="210" t="s">
        <v>271</v>
      </c>
    </row>
    <row r="40" spans="1:19" ht="25.05" customHeight="1">
      <c r="B40" s="184"/>
      <c r="C40" s="217"/>
      <c r="D40" s="185"/>
      <c r="E40" s="218"/>
      <c r="F40" s="188"/>
      <c r="G40" s="316"/>
      <c r="H40" s="284" t="s">
        <v>69</v>
      </c>
      <c r="I40" s="320">
        <v>1</v>
      </c>
      <c r="J40" s="321">
        <v>1</v>
      </c>
      <c r="K40" s="320">
        <v>0</v>
      </c>
      <c r="L40" s="321">
        <v>1</v>
      </c>
      <c r="M40" s="317"/>
      <c r="N40" s="322"/>
      <c r="O40" s="318"/>
      <c r="P40" s="213">
        <v>0.18</v>
      </c>
      <c r="Q40" s="214"/>
      <c r="R40" s="210"/>
    </row>
    <row r="41" spans="1:19" ht="34.5" customHeight="1" thickBot="1">
      <c r="B41" s="227"/>
      <c r="C41" s="228"/>
      <c r="D41" s="229"/>
      <c r="E41" s="230"/>
      <c r="F41" s="231"/>
      <c r="G41" s="323"/>
      <c r="H41" s="324" t="s">
        <v>294</v>
      </c>
      <c r="I41" s="234">
        <v>1</v>
      </c>
      <c r="J41" s="235">
        <v>1</v>
      </c>
      <c r="K41" s="234">
        <v>0</v>
      </c>
      <c r="L41" s="235">
        <v>1</v>
      </c>
      <c r="M41" s="325"/>
      <c r="N41" s="256"/>
      <c r="O41" s="326"/>
      <c r="P41" s="308">
        <v>0.15</v>
      </c>
      <c r="Q41" s="240"/>
      <c r="R41" s="327" t="s">
        <v>525</v>
      </c>
    </row>
    <row r="42" spans="1:19" ht="51" customHeight="1">
      <c r="B42" s="169" t="s">
        <v>526</v>
      </c>
      <c r="C42" s="170" t="s">
        <v>243</v>
      </c>
      <c r="D42" s="171" t="s">
        <v>27</v>
      </c>
      <c r="E42" s="211">
        <v>226000</v>
      </c>
      <c r="F42" s="173" t="s">
        <v>244</v>
      </c>
      <c r="G42" s="174" t="s">
        <v>244</v>
      </c>
      <c r="H42" s="328" t="s">
        <v>245</v>
      </c>
      <c r="I42" s="176">
        <v>0</v>
      </c>
      <c r="J42" s="177">
        <v>0</v>
      </c>
      <c r="K42" s="176">
        <v>1</v>
      </c>
      <c r="L42" s="177">
        <v>1</v>
      </c>
      <c r="M42" s="329" t="s">
        <v>27</v>
      </c>
      <c r="N42" s="171" t="s">
        <v>527</v>
      </c>
      <c r="O42" s="212"/>
      <c r="P42" s="330">
        <v>0.15</v>
      </c>
      <c r="Q42" s="331"/>
      <c r="R42" s="315" t="s">
        <v>528</v>
      </c>
      <c r="S42" s="332" t="s">
        <v>1</v>
      </c>
    </row>
    <row r="43" spans="1:19" ht="71.25" customHeight="1">
      <c r="B43" s="184"/>
      <c r="C43" s="185"/>
      <c r="D43" s="186"/>
      <c r="E43" s="218"/>
      <c r="F43" s="188"/>
      <c r="G43" s="189"/>
      <c r="H43" s="333" t="s">
        <v>247</v>
      </c>
      <c r="I43" s="264">
        <v>0</v>
      </c>
      <c r="J43" s="265">
        <v>1</v>
      </c>
      <c r="K43" s="264">
        <v>1</v>
      </c>
      <c r="L43" s="265">
        <v>1</v>
      </c>
      <c r="M43" s="334"/>
      <c r="N43" s="186"/>
      <c r="O43" s="220"/>
      <c r="P43" s="335">
        <v>0.2</v>
      </c>
      <c r="Q43" s="336"/>
      <c r="R43" s="221" t="s">
        <v>254</v>
      </c>
      <c r="S43" s="337"/>
    </row>
    <row r="44" spans="1:19" ht="64.5" customHeight="1">
      <c r="A44"/>
      <c r="B44" s="184"/>
      <c r="C44" s="185"/>
      <c r="D44" s="186"/>
      <c r="E44" s="218"/>
      <c r="F44" s="188"/>
      <c r="G44" s="189"/>
      <c r="H44" s="338" t="s">
        <v>272</v>
      </c>
      <c r="I44" s="264">
        <v>0</v>
      </c>
      <c r="J44" s="265">
        <v>1</v>
      </c>
      <c r="K44" s="264">
        <v>1</v>
      </c>
      <c r="L44" s="265">
        <v>1</v>
      </c>
      <c r="M44" s="334"/>
      <c r="N44" s="186"/>
      <c r="O44" s="220"/>
      <c r="P44" s="335">
        <v>0.2</v>
      </c>
      <c r="Q44" s="336"/>
      <c r="R44" s="225" t="s">
        <v>260</v>
      </c>
      <c r="S44" s="337"/>
    </row>
    <row r="45" spans="1:19" ht="50.25" customHeight="1">
      <c r="A45" t="s">
        <v>255</v>
      </c>
      <c r="B45" s="184"/>
      <c r="C45" s="185"/>
      <c r="D45" s="186"/>
      <c r="E45" s="218"/>
      <c r="F45" s="188"/>
      <c r="G45" s="189"/>
      <c r="H45" s="338" t="s">
        <v>273</v>
      </c>
      <c r="I45" s="264">
        <v>1</v>
      </c>
      <c r="J45" s="265">
        <v>1</v>
      </c>
      <c r="K45" s="264">
        <v>1</v>
      </c>
      <c r="L45" s="265">
        <v>1</v>
      </c>
      <c r="M45" s="334"/>
      <c r="N45" s="186"/>
      <c r="O45" s="339"/>
      <c r="P45" s="335">
        <v>0.2</v>
      </c>
      <c r="Q45" s="336"/>
      <c r="R45" s="300"/>
      <c r="S45" s="337"/>
    </row>
    <row r="46" spans="1:19" ht="39.75" customHeight="1">
      <c r="B46" s="184"/>
      <c r="C46" s="185"/>
      <c r="D46" s="186"/>
      <c r="E46" s="218"/>
      <c r="F46" s="188"/>
      <c r="G46" s="189"/>
      <c r="H46" s="340" t="s">
        <v>250</v>
      </c>
      <c r="I46" s="264">
        <v>1</v>
      </c>
      <c r="J46" s="265">
        <v>1</v>
      </c>
      <c r="K46" s="264">
        <v>1</v>
      </c>
      <c r="L46" s="265">
        <v>1</v>
      </c>
      <c r="M46" s="334"/>
      <c r="N46" s="186"/>
      <c r="O46" s="339"/>
      <c r="P46" s="335">
        <v>0.2</v>
      </c>
      <c r="Q46" s="336"/>
      <c r="R46" s="341" t="s">
        <v>274</v>
      </c>
      <c r="S46" s="337"/>
    </row>
    <row r="47" spans="1:19" ht="66" customHeight="1">
      <c r="B47" s="184"/>
      <c r="C47" s="185"/>
      <c r="D47" s="186"/>
      <c r="E47" s="218"/>
      <c r="F47" s="188"/>
      <c r="G47" s="189"/>
      <c r="H47" s="340" t="s">
        <v>252</v>
      </c>
      <c r="I47" s="264">
        <v>1</v>
      </c>
      <c r="J47" s="265">
        <v>1</v>
      </c>
      <c r="K47" s="264">
        <v>1</v>
      </c>
      <c r="L47" s="265">
        <v>1</v>
      </c>
      <c r="M47" s="334"/>
      <c r="N47" s="186"/>
      <c r="O47" s="339"/>
      <c r="P47" s="335">
        <v>0.2</v>
      </c>
      <c r="Q47" s="336"/>
      <c r="R47" s="210" t="s">
        <v>271</v>
      </c>
      <c r="S47" s="337"/>
    </row>
    <row r="48" spans="1:19" ht="48.75" customHeight="1" thickBot="1">
      <c r="B48" s="227"/>
      <c r="C48" s="229"/>
      <c r="D48" s="237"/>
      <c r="E48" s="230"/>
      <c r="F48" s="231"/>
      <c r="G48" s="232"/>
      <c r="H48" s="342" t="s">
        <v>275</v>
      </c>
      <c r="I48" s="234">
        <v>1</v>
      </c>
      <c r="J48" s="235">
        <v>1</v>
      </c>
      <c r="K48" s="234">
        <v>1</v>
      </c>
      <c r="L48" s="235">
        <v>1</v>
      </c>
      <c r="M48" s="343"/>
      <c r="N48" s="237"/>
      <c r="O48" s="344"/>
      <c r="P48" s="345">
        <v>0.24</v>
      </c>
      <c r="Q48" s="346"/>
      <c r="R48" s="310"/>
      <c r="S48" s="347"/>
    </row>
    <row r="49" spans="1:19" ht="41.25" customHeight="1">
      <c r="B49" s="348" t="s">
        <v>529</v>
      </c>
      <c r="C49" s="170" t="s">
        <v>243</v>
      </c>
      <c r="D49" s="170" t="s">
        <v>27</v>
      </c>
      <c r="E49" s="211">
        <v>233000</v>
      </c>
      <c r="F49" s="173" t="s">
        <v>244</v>
      </c>
      <c r="G49" s="311" t="s">
        <v>244</v>
      </c>
      <c r="H49" s="175" t="s">
        <v>270</v>
      </c>
      <c r="I49" s="243">
        <v>1</v>
      </c>
      <c r="J49" s="244">
        <v>1</v>
      </c>
      <c r="K49" s="243">
        <v>1</v>
      </c>
      <c r="L49" s="244">
        <v>1</v>
      </c>
      <c r="M49" s="245" t="s">
        <v>27</v>
      </c>
      <c r="N49" s="179" t="s">
        <v>522</v>
      </c>
      <c r="O49" s="212"/>
      <c r="P49" s="349">
        <v>0.18</v>
      </c>
      <c r="Q49" s="350"/>
      <c r="R49" s="351" t="s">
        <v>530</v>
      </c>
      <c r="S49" s="151"/>
    </row>
    <row r="50" spans="1:19" ht="61.5" customHeight="1">
      <c r="A50" t="s">
        <v>255</v>
      </c>
      <c r="B50" s="184"/>
      <c r="C50" s="217"/>
      <c r="D50" s="185"/>
      <c r="E50" s="218"/>
      <c r="F50" s="188"/>
      <c r="G50" s="316"/>
      <c r="H50" s="202" t="s">
        <v>63</v>
      </c>
      <c r="I50" s="191">
        <v>1</v>
      </c>
      <c r="J50" s="192">
        <v>1</v>
      </c>
      <c r="K50" s="191">
        <v>1</v>
      </c>
      <c r="L50" s="192">
        <v>1</v>
      </c>
      <c r="M50" s="317"/>
      <c r="N50" s="200"/>
      <c r="O50" s="220"/>
      <c r="P50" s="352">
        <v>0.23</v>
      </c>
      <c r="Q50" s="353"/>
      <c r="R50" s="221" t="s">
        <v>254</v>
      </c>
      <c r="S50" s="151"/>
    </row>
    <row r="51" spans="1:19" ht="40.5" customHeight="1">
      <c r="A51"/>
      <c r="B51" s="184"/>
      <c r="C51" s="217"/>
      <c r="D51" s="185"/>
      <c r="E51" s="218"/>
      <c r="F51" s="188"/>
      <c r="G51" s="316"/>
      <c r="H51" s="202" t="s">
        <v>65</v>
      </c>
      <c r="I51" s="191">
        <v>1</v>
      </c>
      <c r="J51" s="192">
        <v>1</v>
      </c>
      <c r="K51" s="191">
        <v>1</v>
      </c>
      <c r="L51" s="192">
        <v>1</v>
      </c>
      <c r="M51" s="317"/>
      <c r="N51" s="200"/>
      <c r="O51" s="220"/>
      <c r="P51" s="352">
        <v>0.23</v>
      </c>
      <c r="Q51" s="353"/>
      <c r="R51" s="354" t="s">
        <v>531</v>
      </c>
      <c r="S51" s="151"/>
    </row>
    <row r="52" spans="1:19" ht="33.75" customHeight="1">
      <c r="B52" s="184"/>
      <c r="C52" s="217"/>
      <c r="D52" s="185"/>
      <c r="E52" s="218"/>
      <c r="F52" s="188"/>
      <c r="G52" s="316"/>
      <c r="H52" s="202" t="s">
        <v>61</v>
      </c>
      <c r="I52" s="191">
        <v>1</v>
      </c>
      <c r="J52" s="192">
        <v>1</v>
      </c>
      <c r="K52" s="191">
        <v>1</v>
      </c>
      <c r="L52" s="192">
        <v>1</v>
      </c>
      <c r="M52" s="317"/>
      <c r="N52" s="200"/>
      <c r="O52" s="220"/>
      <c r="P52" s="352">
        <v>0.23</v>
      </c>
      <c r="Q52" s="353"/>
      <c r="R52" s="210" t="s">
        <v>271</v>
      </c>
      <c r="S52" s="151"/>
    </row>
    <row r="53" spans="1:19" ht="25.05" customHeight="1" thickBot="1">
      <c r="B53" s="227"/>
      <c r="C53" s="228"/>
      <c r="D53" s="229"/>
      <c r="E53" s="230"/>
      <c r="F53" s="231"/>
      <c r="G53" s="323"/>
      <c r="H53" s="233" t="s">
        <v>276</v>
      </c>
      <c r="I53" s="304">
        <v>1</v>
      </c>
      <c r="J53" s="305">
        <v>1</v>
      </c>
      <c r="K53" s="304">
        <v>1</v>
      </c>
      <c r="L53" s="305">
        <v>1</v>
      </c>
      <c r="M53" s="325"/>
      <c r="N53" s="256"/>
      <c r="O53" s="238"/>
      <c r="P53" s="355">
        <v>0.23</v>
      </c>
      <c r="Q53" s="356"/>
      <c r="R53" s="357"/>
      <c r="S53" s="151"/>
    </row>
    <row r="54" spans="1:19" ht="41.25" customHeight="1" thickBot="1">
      <c r="B54" s="169" t="s">
        <v>532</v>
      </c>
      <c r="C54" s="170" t="s">
        <v>243</v>
      </c>
      <c r="D54" s="170" t="s">
        <v>27</v>
      </c>
      <c r="E54" s="172">
        <v>229000</v>
      </c>
      <c r="F54" s="358" t="s">
        <v>244</v>
      </c>
      <c r="G54" s="359">
        <v>7.4999999999999997E-2</v>
      </c>
      <c r="H54" s="175" t="s">
        <v>270</v>
      </c>
      <c r="I54" s="176">
        <v>1</v>
      </c>
      <c r="J54" s="177">
        <v>1</v>
      </c>
      <c r="K54" s="176">
        <v>1</v>
      </c>
      <c r="L54" s="177">
        <v>1</v>
      </c>
      <c r="M54" s="360" t="s">
        <v>27</v>
      </c>
      <c r="N54" s="361" t="s">
        <v>533</v>
      </c>
      <c r="O54" s="362"/>
      <c r="P54" s="363">
        <v>0.15</v>
      </c>
      <c r="Q54" s="364"/>
      <c r="R54" s="215" t="s">
        <v>534</v>
      </c>
      <c r="S54" s="247" t="s">
        <v>1</v>
      </c>
    </row>
    <row r="55" spans="1:19" ht="49.5" customHeight="1">
      <c r="B55" s="184"/>
      <c r="C55" s="185"/>
      <c r="D55" s="185"/>
      <c r="E55" s="187"/>
      <c r="F55" s="294"/>
      <c r="G55" s="365"/>
      <c r="H55" s="202" t="s">
        <v>252</v>
      </c>
      <c r="I55" s="191">
        <v>1</v>
      </c>
      <c r="J55" s="192">
        <v>1</v>
      </c>
      <c r="K55" s="191">
        <v>1</v>
      </c>
      <c r="L55" s="192">
        <v>1</v>
      </c>
      <c r="M55" s="184"/>
      <c r="N55" s="366"/>
      <c r="O55" s="367"/>
      <c r="P55" s="363">
        <v>0.15</v>
      </c>
      <c r="Q55" s="368"/>
      <c r="R55" s="223" t="s">
        <v>277</v>
      </c>
      <c r="S55" s="253"/>
    </row>
    <row r="56" spans="1:19" ht="44.25" customHeight="1" thickBot="1">
      <c r="B56" s="184"/>
      <c r="C56" s="185"/>
      <c r="D56" s="185"/>
      <c r="E56" s="187"/>
      <c r="F56" s="294"/>
      <c r="G56" s="365"/>
      <c r="H56" s="202" t="s">
        <v>278</v>
      </c>
      <c r="I56" s="191"/>
      <c r="J56" s="192"/>
      <c r="K56" s="191"/>
      <c r="L56" s="192"/>
      <c r="M56" s="184"/>
      <c r="N56" s="366"/>
      <c r="O56" s="369"/>
      <c r="P56" s="298"/>
      <c r="Q56" s="370"/>
      <c r="R56" s="223" t="s">
        <v>535</v>
      </c>
      <c r="S56" s="253"/>
    </row>
    <row r="57" spans="1:19" ht="33" customHeight="1" thickBot="1">
      <c r="A57"/>
      <c r="B57" s="184"/>
      <c r="C57" s="185"/>
      <c r="D57" s="185"/>
      <c r="E57" s="187"/>
      <c r="F57" s="294"/>
      <c r="G57" s="365"/>
      <c r="H57" s="202"/>
      <c r="I57" s="191"/>
      <c r="J57" s="192"/>
      <c r="K57" s="191"/>
      <c r="L57" s="192"/>
      <c r="M57" s="184"/>
      <c r="N57" s="366"/>
      <c r="O57" s="367"/>
      <c r="P57" s="371"/>
      <c r="Q57" s="372"/>
      <c r="R57" s="223" t="s">
        <v>536</v>
      </c>
      <c r="S57" s="253"/>
    </row>
    <row r="58" spans="1:19" ht="33" customHeight="1">
      <c r="A58" t="s">
        <v>255</v>
      </c>
      <c r="B58" s="184"/>
      <c r="C58" s="185"/>
      <c r="D58" s="185"/>
      <c r="E58" s="187"/>
      <c r="F58" s="294"/>
      <c r="G58" s="365"/>
      <c r="H58" s="202"/>
      <c r="I58" s="191"/>
      <c r="J58" s="192"/>
      <c r="K58" s="191"/>
      <c r="L58" s="192"/>
      <c r="M58" s="184"/>
      <c r="N58" s="366"/>
      <c r="O58" s="369"/>
      <c r="P58" s="352"/>
      <c r="Q58" s="368"/>
      <c r="R58" s="210" t="s">
        <v>279</v>
      </c>
      <c r="S58" s="253"/>
    </row>
    <row r="59" spans="1:19" ht="48" customHeight="1">
      <c r="B59" s="184"/>
      <c r="C59" s="185"/>
      <c r="D59" s="185"/>
      <c r="E59" s="187"/>
      <c r="F59" s="294"/>
      <c r="G59" s="365"/>
      <c r="H59" s="202"/>
      <c r="I59" s="191"/>
      <c r="J59" s="192"/>
      <c r="K59" s="191"/>
      <c r="L59" s="192"/>
      <c r="M59" s="184"/>
      <c r="N59" s="366"/>
      <c r="O59" s="369"/>
      <c r="P59" s="352"/>
      <c r="Q59" s="368"/>
      <c r="R59" s="373" t="s">
        <v>537</v>
      </c>
      <c r="S59" s="253"/>
    </row>
    <row r="60" spans="1:19" ht="30" customHeight="1">
      <c r="B60" s="184"/>
      <c r="C60" s="185"/>
      <c r="D60" s="185"/>
      <c r="E60" s="187"/>
      <c r="F60" s="294"/>
      <c r="G60" s="365"/>
      <c r="H60" s="202"/>
      <c r="I60" s="191"/>
      <c r="J60" s="192"/>
      <c r="K60" s="191"/>
      <c r="L60" s="192"/>
      <c r="M60" s="184"/>
      <c r="N60" s="366"/>
      <c r="O60" s="369"/>
      <c r="P60" s="352"/>
      <c r="Q60" s="368"/>
      <c r="R60" s="373" t="s">
        <v>538</v>
      </c>
      <c r="S60" s="253"/>
    </row>
    <row r="61" spans="1:19" ht="31.5" customHeight="1">
      <c r="B61" s="184"/>
      <c r="C61" s="185"/>
      <c r="D61" s="185"/>
      <c r="E61" s="187"/>
      <c r="F61" s="294"/>
      <c r="G61" s="365"/>
      <c r="H61" s="202"/>
      <c r="I61" s="191"/>
      <c r="J61" s="192"/>
      <c r="K61" s="191"/>
      <c r="L61" s="192"/>
      <c r="M61" s="184"/>
      <c r="N61" s="366"/>
      <c r="O61" s="369"/>
      <c r="P61" s="352"/>
      <c r="Q61" s="368"/>
      <c r="R61" s="373" t="s">
        <v>539</v>
      </c>
      <c r="S61" s="253"/>
    </row>
    <row r="62" spans="1:19" ht="41.25" customHeight="1" thickBot="1">
      <c r="B62" s="227"/>
      <c r="C62" s="229"/>
      <c r="D62" s="229"/>
      <c r="E62" s="301"/>
      <c r="F62" s="302"/>
      <c r="G62" s="374"/>
      <c r="H62" s="233"/>
      <c r="I62" s="234"/>
      <c r="J62" s="235"/>
      <c r="K62" s="234"/>
      <c r="L62" s="235"/>
      <c r="M62" s="227"/>
      <c r="N62" s="375"/>
      <c r="O62" s="376"/>
      <c r="P62" s="308"/>
      <c r="Q62" s="377"/>
      <c r="R62" s="378" t="s">
        <v>540</v>
      </c>
      <c r="S62" s="258"/>
    </row>
    <row r="63" spans="1:19" ht="33" customHeight="1">
      <c r="B63" s="379" t="s">
        <v>541</v>
      </c>
      <c r="C63" s="170" t="s">
        <v>243</v>
      </c>
      <c r="D63" s="170" t="s">
        <v>27</v>
      </c>
      <c r="E63" s="172">
        <v>250000</v>
      </c>
      <c r="F63" s="380" t="s">
        <v>244</v>
      </c>
      <c r="G63" s="381" t="s">
        <v>244</v>
      </c>
      <c r="H63" s="263" t="s">
        <v>61</v>
      </c>
      <c r="I63" s="191">
        <v>1</v>
      </c>
      <c r="J63" s="192">
        <v>1</v>
      </c>
      <c r="K63" s="191">
        <v>1</v>
      </c>
      <c r="L63" s="192">
        <v>1</v>
      </c>
      <c r="M63" s="266" t="s">
        <v>27</v>
      </c>
      <c r="N63" s="366" t="s">
        <v>542</v>
      </c>
      <c r="O63" s="297"/>
      <c r="P63" s="352">
        <v>0.14000000000000001</v>
      </c>
      <c r="Q63" s="382"/>
      <c r="R63" s="215" t="s">
        <v>543</v>
      </c>
      <c r="S63" s="151"/>
    </row>
    <row r="64" spans="1:19" ht="33" customHeight="1">
      <c r="B64" s="184"/>
      <c r="C64" s="185"/>
      <c r="D64" s="185"/>
      <c r="E64" s="187"/>
      <c r="F64" s="383"/>
      <c r="G64" s="365"/>
      <c r="H64" s="284" t="s">
        <v>280</v>
      </c>
      <c r="I64" s="191">
        <v>1</v>
      </c>
      <c r="J64" s="192">
        <v>1</v>
      </c>
      <c r="K64" s="191">
        <v>1</v>
      </c>
      <c r="L64" s="192">
        <v>1</v>
      </c>
      <c r="M64" s="276"/>
      <c r="N64" s="366"/>
      <c r="O64" s="204"/>
      <c r="P64" s="352">
        <v>0.14000000000000001</v>
      </c>
      <c r="Q64" s="382"/>
      <c r="R64" s="300"/>
      <c r="S64" s="151"/>
    </row>
    <row r="65" spans="1:19" ht="33" customHeight="1">
      <c r="B65" s="184"/>
      <c r="C65" s="185"/>
      <c r="D65" s="185"/>
      <c r="E65" s="187"/>
      <c r="F65" s="383"/>
      <c r="G65" s="365"/>
      <c r="H65" s="202" t="s">
        <v>65</v>
      </c>
      <c r="I65" s="191">
        <v>1</v>
      </c>
      <c r="J65" s="192">
        <v>1</v>
      </c>
      <c r="K65" s="191">
        <v>1</v>
      </c>
      <c r="L65" s="192">
        <v>1</v>
      </c>
      <c r="M65" s="276"/>
      <c r="N65" s="366"/>
      <c r="O65" s="204"/>
      <c r="P65" s="352">
        <v>0.14000000000000001</v>
      </c>
      <c r="Q65" s="382"/>
      <c r="R65" s="221" t="s">
        <v>254</v>
      </c>
      <c r="S65" s="151"/>
    </row>
    <row r="66" spans="1:19" ht="33" customHeight="1">
      <c r="A66" t="s">
        <v>255</v>
      </c>
      <c r="B66" s="184"/>
      <c r="C66" s="185"/>
      <c r="D66" s="185"/>
      <c r="E66" s="187"/>
      <c r="F66" s="383"/>
      <c r="G66" s="365"/>
      <c r="H66" s="202" t="s">
        <v>276</v>
      </c>
      <c r="I66" s="191">
        <v>1</v>
      </c>
      <c r="J66" s="192">
        <v>1</v>
      </c>
      <c r="K66" s="191">
        <v>1</v>
      </c>
      <c r="L66" s="192">
        <v>1</v>
      </c>
      <c r="M66" s="276"/>
      <c r="N66" s="366"/>
      <c r="O66" s="204"/>
      <c r="P66" s="352">
        <v>0.14000000000000001</v>
      </c>
      <c r="Q66" s="382"/>
      <c r="R66" s="384"/>
      <c r="S66" s="151"/>
    </row>
    <row r="67" spans="1:19" ht="33" customHeight="1">
      <c r="B67" s="184"/>
      <c r="C67" s="185"/>
      <c r="D67" s="185"/>
      <c r="E67" s="187"/>
      <c r="F67" s="383"/>
      <c r="G67" s="365"/>
      <c r="H67" s="202" t="s">
        <v>281</v>
      </c>
      <c r="I67" s="191">
        <v>1</v>
      </c>
      <c r="J67" s="192">
        <v>1</v>
      </c>
      <c r="K67" s="191">
        <v>1</v>
      </c>
      <c r="L67" s="192">
        <v>1</v>
      </c>
      <c r="M67" s="276"/>
      <c r="N67" s="366"/>
      <c r="O67" s="204"/>
      <c r="P67" s="352">
        <v>0.14000000000000001</v>
      </c>
      <c r="Q67" s="382"/>
      <c r="R67" s="225" t="s">
        <v>256</v>
      </c>
      <c r="S67" s="151"/>
    </row>
    <row r="68" spans="1:19" ht="33" customHeight="1">
      <c r="B68" s="184"/>
      <c r="C68" s="185"/>
      <c r="D68" s="185"/>
      <c r="E68" s="187"/>
      <c r="F68" s="383"/>
      <c r="G68" s="365"/>
      <c r="H68" s="202" t="s">
        <v>282</v>
      </c>
      <c r="I68" s="191">
        <v>1</v>
      </c>
      <c r="J68" s="192">
        <v>1</v>
      </c>
      <c r="K68" s="191">
        <v>1</v>
      </c>
      <c r="L68" s="192">
        <v>1</v>
      </c>
      <c r="M68" s="276"/>
      <c r="N68" s="366"/>
      <c r="O68" s="204"/>
      <c r="P68" s="352">
        <v>0.14000000000000001</v>
      </c>
      <c r="Q68" s="382"/>
      <c r="R68" s="226"/>
      <c r="S68" s="151"/>
    </row>
    <row r="69" spans="1:19" ht="59.25" customHeight="1" thickBot="1">
      <c r="B69" s="227"/>
      <c r="C69" s="229"/>
      <c r="D69" s="229"/>
      <c r="E69" s="301"/>
      <c r="F69" s="385"/>
      <c r="G69" s="374"/>
      <c r="H69" s="202" t="s">
        <v>283</v>
      </c>
      <c r="I69" s="191">
        <v>1</v>
      </c>
      <c r="J69" s="192">
        <v>1</v>
      </c>
      <c r="K69" s="191">
        <v>1</v>
      </c>
      <c r="L69" s="192">
        <v>1</v>
      </c>
      <c r="M69" s="386"/>
      <c r="N69" s="375"/>
      <c r="O69" s="297"/>
      <c r="P69" s="352">
        <v>0.14000000000000001</v>
      </c>
      <c r="Q69" s="382"/>
      <c r="R69" s="241"/>
      <c r="S69" s="151"/>
    </row>
    <row r="70" spans="1:19" ht="48" customHeight="1">
      <c r="B70" s="169" t="s">
        <v>544</v>
      </c>
      <c r="C70" s="171" t="s">
        <v>253</v>
      </c>
      <c r="D70" s="170" t="s">
        <v>27</v>
      </c>
      <c r="E70" s="172">
        <v>209000</v>
      </c>
      <c r="F70" s="387" t="s">
        <v>244</v>
      </c>
      <c r="G70" s="388">
        <v>0.02</v>
      </c>
      <c r="H70" s="175" t="s">
        <v>245</v>
      </c>
      <c r="I70" s="176">
        <v>0</v>
      </c>
      <c r="J70" s="177">
        <v>0</v>
      </c>
      <c r="K70" s="176">
        <v>0</v>
      </c>
      <c r="L70" s="177">
        <v>0</v>
      </c>
      <c r="M70" s="360" t="s">
        <v>27</v>
      </c>
      <c r="N70" s="186" t="s">
        <v>545</v>
      </c>
      <c r="O70" s="291"/>
      <c r="P70" s="292">
        <v>0.1</v>
      </c>
      <c r="Q70" s="293"/>
      <c r="R70" s="215" t="s">
        <v>546</v>
      </c>
    </row>
    <row r="71" spans="1:19" ht="66" customHeight="1">
      <c r="B71" s="184"/>
      <c r="C71" s="186"/>
      <c r="D71" s="185"/>
      <c r="E71" s="187"/>
      <c r="F71" s="389"/>
      <c r="G71" s="390"/>
      <c r="H71" s="202" t="s">
        <v>247</v>
      </c>
      <c r="I71" s="191">
        <v>0</v>
      </c>
      <c r="J71" s="192">
        <v>0</v>
      </c>
      <c r="K71" s="191">
        <v>0</v>
      </c>
      <c r="L71" s="192">
        <v>0</v>
      </c>
      <c r="M71" s="391"/>
      <c r="N71" s="186"/>
      <c r="O71" s="297"/>
      <c r="P71" s="298">
        <v>0.1</v>
      </c>
      <c r="Q71" s="299"/>
      <c r="R71" s="392" t="s">
        <v>547</v>
      </c>
    </row>
    <row r="72" spans="1:19" ht="52.5" customHeight="1">
      <c r="A72" t="s">
        <v>255</v>
      </c>
      <c r="B72" s="184"/>
      <c r="C72" s="186"/>
      <c r="D72" s="185"/>
      <c r="E72" s="187"/>
      <c r="F72" s="389"/>
      <c r="G72" s="390"/>
      <c r="H72" s="202" t="s">
        <v>265</v>
      </c>
      <c r="I72" s="191">
        <v>0</v>
      </c>
      <c r="J72" s="192">
        <v>0</v>
      </c>
      <c r="K72" s="191">
        <v>0</v>
      </c>
      <c r="L72" s="192">
        <v>0</v>
      </c>
      <c r="M72" s="391"/>
      <c r="N72" s="186"/>
      <c r="O72" s="204"/>
      <c r="P72" s="298">
        <v>0.1</v>
      </c>
      <c r="Q72" s="299"/>
      <c r="R72" s="221" t="s">
        <v>254</v>
      </c>
    </row>
    <row r="73" spans="1:19" ht="32.25" customHeight="1">
      <c r="B73" s="184"/>
      <c r="C73" s="186"/>
      <c r="D73" s="185"/>
      <c r="E73" s="187"/>
      <c r="F73" s="389"/>
      <c r="G73" s="390"/>
      <c r="H73" s="202" t="s">
        <v>284</v>
      </c>
      <c r="I73" s="191">
        <v>0</v>
      </c>
      <c r="J73" s="192">
        <v>0</v>
      </c>
      <c r="K73" s="191">
        <v>0</v>
      </c>
      <c r="L73" s="192">
        <v>0</v>
      </c>
      <c r="M73" s="391"/>
      <c r="N73" s="186"/>
      <c r="O73" s="204"/>
      <c r="P73" s="298">
        <v>0.1</v>
      </c>
      <c r="Q73" s="299"/>
      <c r="R73" s="393" t="s">
        <v>548</v>
      </c>
    </row>
    <row r="74" spans="1:19" ht="32.25" customHeight="1">
      <c r="B74" s="184"/>
      <c r="C74" s="186"/>
      <c r="D74" s="185"/>
      <c r="E74" s="187"/>
      <c r="F74" s="389"/>
      <c r="G74" s="390"/>
      <c r="H74" s="202" t="s">
        <v>267</v>
      </c>
      <c r="I74" s="191">
        <v>0</v>
      </c>
      <c r="J74" s="192">
        <v>0</v>
      </c>
      <c r="K74" s="191">
        <v>0</v>
      </c>
      <c r="L74" s="192">
        <v>0</v>
      </c>
      <c r="M74" s="391"/>
      <c r="N74" s="186"/>
      <c r="O74" s="297"/>
      <c r="P74" s="298">
        <v>0.1</v>
      </c>
      <c r="Q74" s="299"/>
      <c r="R74" s="226" t="s">
        <v>549</v>
      </c>
    </row>
    <row r="75" spans="1:19" ht="68.25" customHeight="1" thickBot="1">
      <c r="B75" s="227"/>
      <c r="C75" s="237"/>
      <c r="D75" s="229"/>
      <c r="E75" s="301"/>
      <c r="F75" s="394"/>
      <c r="G75" s="395"/>
      <c r="H75" s="233" t="s">
        <v>268</v>
      </c>
      <c r="I75" s="304">
        <v>0</v>
      </c>
      <c r="J75" s="305">
        <v>1</v>
      </c>
      <c r="K75" s="304">
        <v>1</v>
      </c>
      <c r="L75" s="305">
        <v>1</v>
      </c>
      <c r="M75" s="396"/>
      <c r="N75" s="237"/>
      <c r="O75" s="307"/>
      <c r="P75" s="298">
        <v>0.1</v>
      </c>
      <c r="Q75" s="299"/>
      <c r="R75" s="241"/>
    </row>
    <row r="76" spans="1:19" ht="59.25" customHeight="1">
      <c r="B76" s="169" t="s">
        <v>550</v>
      </c>
      <c r="C76" s="170" t="s">
        <v>243</v>
      </c>
      <c r="D76" s="171" t="s">
        <v>27</v>
      </c>
      <c r="E76" s="172">
        <v>200000</v>
      </c>
      <c r="F76" s="387" t="s">
        <v>244</v>
      </c>
      <c r="G76" s="397">
        <v>0.02</v>
      </c>
      <c r="H76" s="175" t="s">
        <v>245</v>
      </c>
      <c r="I76" s="176">
        <v>0</v>
      </c>
      <c r="J76" s="177">
        <v>0</v>
      </c>
      <c r="K76" s="176">
        <v>0</v>
      </c>
      <c r="L76" s="177">
        <v>0</v>
      </c>
      <c r="M76" s="360" t="s">
        <v>27</v>
      </c>
      <c r="N76" s="398" t="s">
        <v>551</v>
      </c>
      <c r="O76" s="180"/>
      <c r="P76" s="399">
        <v>0.1636</v>
      </c>
      <c r="Q76" s="400"/>
      <c r="R76" s="351" t="s">
        <v>515</v>
      </c>
    </row>
    <row r="77" spans="1:19" ht="75" customHeight="1">
      <c r="B77" s="184"/>
      <c r="C77" s="185"/>
      <c r="D77" s="199"/>
      <c r="E77" s="187"/>
      <c r="F77" s="389"/>
      <c r="G77" s="401"/>
      <c r="H77" s="190" t="s">
        <v>247</v>
      </c>
      <c r="I77" s="191">
        <v>0</v>
      </c>
      <c r="J77" s="192">
        <v>1</v>
      </c>
      <c r="K77" s="191">
        <v>1</v>
      </c>
      <c r="L77" s="192">
        <v>1</v>
      </c>
      <c r="M77" s="391"/>
      <c r="N77" s="186"/>
      <c r="O77" s="195"/>
      <c r="P77" s="402">
        <v>0.1636</v>
      </c>
      <c r="Q77" s="403"/>
      <c r="R77" s="392" t="s">
        <v>552</v>
      </c>
    </row>
    <row r="78" spans="1:19" ht="70.5" customHeight="1">
      <c r="A78" t="s">
        <v>255</v>
      </c>
      <c r="B78" s="404"/>
      <c r="C78" s="185"/>
      <c r="D78" s="199"/>
      <c r="E78" s="187"/>
      <c r="F78" s="389"/>
      <c r="G78" s="401"/>
      <c r="H78" s="202" t="s">
        <v>285</v>
      </c>
      <c r="I78" s="191">
        <v>1</v>
      </c>
      <c r="J78" s="192">
        <v>1</v>
      </c>
      <c r="K78" s="191">
        <v>1</v>
      </c>
      <c r="L78" s="192">
        <v>1</v>
      </c>
      <c r="M78" s="391"/>
      <c r="N78" s="199"/>
      <c r="O78" s="208">
        <v>46082</v>
      </c>
      <c r="P78" s="402">
        <v>0.1636</v>
      </c>
      <c r="Q78" s="403"/>
      <c r="R78" s="221" t="s">
        <v>254</v>
      </c>
    </row>
    <row r="79" spans="1:19" ht="45.75" customHeight="1">
      <c r="B79" s="404"/>
      <c r="C79" s="185"/>
      <c r="D79" s="199"/>
      <c r="E79" s="187"/>
      <c r="F79" s="389"/>
      <c r="G79" s="401"/>
      <c r="H79" s="202" t="s">
        <v>249</v>
      </c>
      <c r="I79" s="191">
        <v>1</v>
      </c>
      <c r="J79" s="192">
        <v>1</v>
      </c>
      <c r="K79" s="191">
        <v>1</v>
      </c>
      <c r="L79" s="192">
        <v>1</v>
      </c>
      <c r="M79" s="391"/>
      <c r="N79" s="199"/>
      <c r="O79" s="208"/>
      <c r="P79" s="402">
        <v>0.1636</v>
      </c>
      <c r="Q79" s="403"/>
      <c r="R79" s="405" t="s">
        <v>553</v>
      </c>
    </row>
    <row r="80" spans="1:19" ht="39" customHeight="1">
      <c r="B80" s="404"/>
      <c r="C80" s="185"/>
      <c r="D80" s="199"/>
      <c r="E80" s="187"/>
      <c r="F80" s="389"/>
      <c r="G80" s="401"/>
      <c r="H80" s="190" t="s">
        <v>250</v>
      </c>
      <c r="I80" s="191">
        <v>1</v>
      </c>
      <c r="J80" s="192">
        <v>1</v>
      </c>
      <c r="K80" s="191">
        <v>1</v>
      </c>
      <c r="L80" s="192">
        <v>1</v>
      </c>
      <c r="M80" s="391"/>
      <c r="N80" s="199"/>
      <c r="O80" s="208"/>
      <c r="P80" s="402">
        <v>0.1636</v>
      </c>
      <c r="Q80" s="403"/>
      <c r="R80" s="405"/>
    </row>
    <row r="81" spans="1:24" ht="25.05" customHeight="1">
      <c r="B81" s="404"/>
      <c r="C81" s="185"/>
      <c r="D81" s="199"/>
      <c r="E81" s="187"/>
      <c r="F81" s="389"/>
      <c r="G81" s="401"/>
      <c r="H81" s="190" t="s">
        <v>65</v>
      </c>
      <c r="I81" s="191">
        <v>1</v>
      </c>
      <c r="J81" s="192">
        <v>1</v>
      </c>
      <c r="K81" s="191">
        <v>1</v>
      </c>
      <c r="L81" s="192">
        <v>1</v>
      </c>
      <c r="M81" s="391"/>
      <c r="N81" s="199"/>
      <c r="O81" s="195"/>
      <c r="P81" s="402">
        <v>0.1636</v>
      </c>
      <c r="Q81" s="403"/>
      <c r="R81" s="226" t="s">
        <v>554</v>
      </c>
    </row>
    <row r="82" spans="1:24" ht="32.25" customHeight="1" thickBot="1">
      <c r="B82" s="406"/>
      <c r="C82" s="229"/>
      <c r="D82" s="407"/>
      <c r="E82" s="301"/>
      <c r="F82" s="394"/>
      <c r="G82" s="408"/>
      <c r="H82" s="409" t="s">
        <v>252</v>
      </c>
      <c r="I82" s="304">
        <v>1</v>
      </c>
      <c r="J82" s="305">
        <v>1</v>
      </c>
      <c r="K82" s="304">
        <v>1</v>
      </c>
      <c r="L82" s="305">
        <v>1</v>
      </c>
      <c r="M82" s="396"/>
      <c r="N82" s="407"/>
      <c r="O82" s="410"/>
      <c r="P82" s="411">
        <v>0.1636</v>
      </c>
      <c r="Q82" s="412"/>
      <c r="R82" s="241"/>
    </row>
    <row r="83" spans="1:24" ht="75.75" customHeight="1">
      <c r="B83" s="169" t="s">
        <v>555</v>
      </c>
      <c r="C83" s="170" t="s">
        <v>243</v>
      </c>
      <c r="D83" s="171" t="s">
        <v>286</v>
      </c>
      <c r="E83" s="172">
        <v>220000</v>
      </c>
      <c r="F83" s="173" t="s">
        <v>556</v>
      </c>
      <c r="G83" s="413" t="s">
        <v>287</v>
      </c>
      <c r="H83" s="175" t="s">
        <v>245</v>
      </c>
      <c r="I83" s="176">
        <v>0</v>
      </c>
      <c r="J83" s="177">
        <v>0</v>
      </c>
      <c r="K83" s="176">
        <v>0</v>
      </c>
      <c r="L83" s="177">
        <v>1</v>
      </c>
      <c r="M83" s="414"/>
      <c r="N83" s="415"/>
      <c r="O83" s="180"/>
      <c r="P83" s="416">
        <v>0.23</v>
      </c>
      <c r="Q83" s="331"/>
      <c r="R83" s="215" t="s">
        <v>557</v>
      </c>
    </row>
    <row r="84" spans="1:24" ht="60.75" customHeight="1">
      <c r="A84" t="s">
        <v>255</v>
      </c>
      <c r="B84" s="404"/>
      <c r="C84" s="185"/>
      <c r="D84" s="199"/>
      <c r="E84" s="187"/>
      <c r="F84" s="188"/>
      <c r="G84" s="417"/>
      <c r="H84" s="190" t="s">
        <v>247</v>
      </c>
      <c r="I84" s="191">
        <v>0</v>
      </c>
      <c r="J84" s="192">
        <v>0</v>
      </c>
      <c r="K84" s="191">
        <v>0</v>
      </c>
      <c r="L84" s="192">
        <v>1</v>
      </c>
      <c r="M84" s="418"/>
      <c r="N84" s="419"/>
      <c r="O84" s="195"/>
      <c r="P84" s="420">
        <v>0.27</v>
      </c>
      <c r="Q84" s="421"/>
      <c r="R84" s="422" t="s">
        <v>558</v>
      </c>
    </row>
    <row r="85" spans="1:24" ht="58.5" customHeight="1">
      <c r="A85"/>
      <c r="B85" s="404"/>
      <c r="C85" s="185"/>
      <c r="D85" s="199"/>
      <c r="E85" s="187"/>
      <c r="F85" s="188"/>
      <c r="G85" s="417"/>
      <c r="H85" s="202" t="s">
        <v>285</v>
      </c>
      <c r="I85" s="191">
        <v>0</v>
      </c>
      <c r="J85" s="192">
        <v>0</v>
      </c>
      <c r="K85" s="191">
        <v>1</v>
      </c>
      <c r="L85" s="192">
        <v>1</v>
      </c>
      <c r="M85" s="423" t="s">
        <v>559</v>
      </c>
      <c r="N85" s="271" t="s">
        <v>560</v>
      </c>
      <c r="O85" s="204">
        <v>46113</v>
      </c>
      <c r="P85" s="420">
        <v>0.27</v>
      </c>
      <c r="Q85" s="421"/>
      <c r="R85" s="392" t="s">
        <v>561</v>
      </c>
      <c r="X85" s="424"/>
    </row>
    <row r="86" spans="1:24" ht="63.75" customHeight="1">
      <c r="B86" s="404"/>
      <c r="C86" s="185"/>
      <c r="D86" s="199"/>
      <c r="E86" s="187"/>
      <c r="F86" s="188"/>
      <c r="G86" s="417"/>
      <c r="H86" s="202" t="s">
        <v>68</v>
      </c>
      <c r="I86" s="191">
        <v>0</v>
      </c>
      <c r="J86" s="192">
        <v>1</v>
      </c>
      <c r="K86" s="191">
        <v>1</v>
      </c>
      <c r="L86" s="192">
        <v>1</v>
      </c>
      <c r="M86" s="418"/>
      <c r="N86" s="419"/>
      <c r="O86" s="195"/>
      <c r="P86" s="420">
        <v>0.27</v>
      </c>
      <c r="Q86" s="421"/>
      <c r="R86" s="221" t="s">
        <v>562</v>
      </c>
    </row>
    <row r="87" spans="1:24" ht="68.25" customHeight="1" thickBot="1">
      <c r="B87" s="406"/>
      <c r="C87" s="229"/>
      <c r="D87" s="407"/>
      <c r="E87" s="301"/>
      <c r="F87" s="231"/>
      <c r="G87" s="425"/>
      <c r="H87" s="233" t="s">
        <v>65</v>
      </c>
      <c r="I87" s="304">
        <v>0</v>
      </c>
      <c r="J87" s="305">
        <v>1</v>
      </c>
      <c r="K87" s="304">
        <v>1</v>
      </c>
      <c r="L87" s="305">
        <v>1</v>
      </c>
      <c r="M87" s="426"/>
      <c r="N87" s="427"/>
      <c r="O87" s="428"/>
      <c r="P87" s="429">
        <v>0.27</v>
      </c>
      <c r="Q87" s="346"/>
      <c r="R87" s="430" t="s">
        <v>563</v>
      </c>
    </row>
    <row r="88" spans="1:24" ht="43.5" customHeight="1">
      <c r="B88" s="348" t="s">
        <v>564</v>
      </c>
      <c r="C88" s="170" t="s">
        <v>253</v>
      </c>
      <c r="D88" s="170" t="s">
        <v>289</v>
      </c>
      <c r="E88" s="211">
        <v>221000</v>
      </c>
      <c r="F88" s="173" t="s">
        <v>290</v>
      </c>
      <c r="G88" s="431" t="s">
        <v>287</v>
      </c>
      <c r="H88" s="263" t="s">
        <v>4</v>
      </c>
      <c r="I88" s="176">
        <v>0</v>
      </c>
      <c r="J88" s="177">
        <v>0</v>
      </c>
      <c r="K88" s="176">
        <v>1</v>
      </c>
      <c r="L88" s="177">
        <v>1</v>
      </c>
      <c r="M88" s="360">
        <v>46447</v>
      </c>
      <c r="N88" s="171" t="s">
        <v>565</v>
      </c>
      <c r="O88" s="432">
        <v>46447</v>
      </c>
      <c r="P88" s="363">
        <v>0.1</v>
      </c>
      <c r="Q88" s="433"/>
      <c r="R88" s="215" t="s">
        <v>511</v>
      </c>
      <c r="S88" s="434"/>
    </row>
    <row r="89" spans="1:24" ht="43.5" customHeight="1">
      <c r="B89" s="379"/>
      <c r="C89" s="185"/>
      <c r="D89" s="185"/>
      <c r="E89" s="218"/>
      <c r="F89" s="188"/>
      <c r="G89" s="435"/>
      <c r="H89" s="202" t="s">
        <v>247</v>
      </c>
      <c r="I89" s="191">
        <v>0</v>
      </c>
      <c r="J89" s="192">
        <v>0</v>
      </c>
      <c r="K89" s="191">
        <v>1</v>
      </c>
      <c r="L89" s="192">
        <v>1</v>
      </c>
      <c r="M89" s="184"/>
      <c r="N89" s="186"/>
      <c r="O89" s="436"/>
      <c r="P89" s="437">
        <v>0.1</v>
      </c>
      <c r="Q89" s="438"/>
      <c r="R89" s="392" t="s">
        <v>566</v>
      </c>
      <c r="S89" s="434"/>
    </row>
    <row r="90" spans="1:24" ht="32.25" customHeight="1">
      <c r="A90" t="s">
        <v>297</v>
      </c>
      <c r="B90" s="184"/>
      <c r="C90" s="185"/>
      <c r="D90" s="185"/>
      <c r="E90" s="218"/>
      <c r="F90" s="188"/>
      <c r="G90" s="435"/>
      <c r="H90" s="202" t="s">
        <v>62</v>
      </c>
      <c r="I90" s="191">
        <v>1</v>
      </c>
      <c r="J90" s="192">
        <v>1</v>
      </c>
      <c r="K90" s="191">
        <v>1</v>
      </c>
      <c r="L90" s="192">
        <v>1</v>
      </c>
      <c r="M90" s="184"/>
      <c r="N90" s="186"/>
      <c r="O90" s="436"/>
      <c r="P90" s="437">
        <v>0.14000000000000001</v>
      </c>
      <c r="Q90" s="438"/>
      <c r="R90" s="210"/>
      <c r="S90" s="434"/>
    </row>
    <row r="91" spans="1:24" ht="36" customHeight="1">
      <c r="B91" s="184"/>
      <c r="C91" s="185"/>
      <c r="D91" s="185"/>
      <c r="E91" s="218"/>
      <c r="F91" s="188"/>
      <c r="G91" s="435"/>
      <c r="H91" s="275" t="s">
        <v>249</v>
      </c>
      <c r="I91" s="264">
        <v>1</v>
      </c>
      <c r="J91" s="265">
        <v>1</v>
      </c>
      <c r="K91" s="264">
        <v>1</v>
      </c>
      <c r="L91" s="265">
        <v>1</v>
      </c>
      <c r="M91" s="184"/>
      <c r="N91" s="186"/>
      <c r="O91" s="436"/>
      <c r="P91" s="437">
        <v>0.14000000000000001</v>
      </c>
      <c r="Q91" s="438"/>
      <c r="R91" s="210"/>
      <c r="S91" s="434"/>
    </row>
    <row r="92" spans="1:24" ht="32.25" customHeight="1">
      <c r="B92" s="184"/>
      <c r="C92" s="185"/>
      <c r="D92" s="185"/>
      <c r="E92" s="218"/>
      <c r="F92" s="188"/>
      <c r="G92" s="435"/>
      <c r="H92" s="275" t="s">
        <v>252</v>
      </c>
      <c r="I92" s="439">
        <v>1</v>
      </c>
      <c r="J92" s="440">
        <v>1</v>
      </c>
      <c r="K92" s="439">
        <v>1</v>
      </c>
      <c r="L92" s="440">
        <v>1</v>
      </c>
      <c r="M92" s="184"/>
      <c r="N92" s="186"/>
      <c r="O92" s="436"/>
      <c r="P92" s="437">
        <v>0.14000000000000001</v>
      </c>
      <c r="Q92" s="438"/>
      <c r="R92" s="226" t="s">
        <v>271</v>
      </c>
      <c r="S92" s="434"/>
    </row>
    <row r="93" spans="1:24" ht="55.5" customHeight="1" thickBot="1">
      <c r="B93" s="227"/>
      <c r="C93" s="229"/>
      <c r="D93" s="229"/>
      <c r="E93" s="230"/>
      <c r="F93" s="231"/>
      <c r="G93" s="441"/>
      <c r="H93" s="442" t="s">
        <v>65</v>
      </c>
      <c r="I93" s="234">
        <v>1</v>
      </c>
      <c r="J93" s="235">
        <v>1</v>
      </c>
      <c r="K93" s="234">
        <v>1</v>
      </c>
      <c r="L93" s="235">
        <v>1</v>
      </c>
      <c r="M93" s="227"/>
      <c r="N93" s="237"/>
      <c r="O93" s="443"/>
      <c r="P93" s="444">
        <v>0.14000000000000001</v>
      </c>
      <c r="Q93" s="445"/>
      <c r="R93" s="241"/>
      <c r="S93" s="434"/>
    </row>
    <row r="94" spans="1:24" ht="37.5" customHeight="1">
      <c r="B94" s="379" t="s">
        <v>567</v>
      </c>
      <c r="C94" s="185" t="s">
        <v>253</v>
      </c>
      <c r="D94" s="185" t="s">
        <v>289</v>
      </c>
      <c r="E94" s="218">
        <v>246000</v>
      </c>
      <c r="F94" s="446" t="s">
        <v>290</v>
      </c>
      <c r="G94" s="447" t="s">
        <v>287</v>
      </c>
      <c r="H94" s="202" t="s">
        <v>4</v>
      </c>
      <c r="I94" s="191">
        <v>0</v>
      </c>
      <c r="J94" s="192">
        <v>0</v>
      </c>
      <c r="K94" s="191">
        <v>0</v>
      </c>
      <c r="L94" s="192">
        <v>0</v>
      </c>
      <c r="M94" s="266">
        <v>46569</v>
      </c>
      <c r="N94" s="186" t="s">
        <v>568</v>
      </c>
      <c r="O94" s="436">
        <v>46569</v>
      </c>
      <c r="P94" s="298">
        <v>0.12</v>
      </c>
      <c r="Q94" s="299"/>
      <c r="R94" s="351" t="s">
        <v>569</v>
      </c>
      <c r="S94" s="448"/>
    </row>
    <row r="95" spans="1:24" ht="54" customHeight="1">
      <c r="B95" s="379"/>
      <c r="C95" s="185"/>
      <c r="D95" s="185"/>
      <c r="E95" s="218"/>
      <c r="F95" s="446"/>
      <c r="G95" s="435"/>
      <c r="H95" s="202" t="s">
        <v>60</v>
      </c>
      <c r="I95" s="191">
        <v>0</v>
      </c>
      <c r="J95" s="192">
        <v>1</v>
      </c>
      <c r="K95" s="191">
        <v>0</v>
      </c>
      <c r="L95" s="192">
        <v>1</v>
      </c>
      <c r="M95" s="276"/>
      <c r="N95" s="186"/>
      <c r="O95" s="436"/>
      <c r="P95" s="298">
        <v>0.12</v>
      </c>
      <c r="Q95" s="299"/>
      <c r="R95" s="392" t="s">
        <v>570</v>
      </c>
      <c r="S95" s="448"/>
    </row>
    <row r="96" spans="1:24" ht="37.5" customHeight="1">
      <c r="A96"/>
      <c r="B96" s="379"/>
      <c r="C96" s="185"/>
      <c r="D96" s="185"/>
      <c r="E96" s="218"/>
      <c r="F96" s="446"/>
      <c r="G96" s="435"/>
      <c r="H96" s="202" t="s">
        <v>249</v>
      </c>
      <c r="I96" s="191">
        <v>0</v>
      </c>
      <c r="J96" s="192">
        <v>1</v>
      </c>
      <c r="K96" s="191">
        <v>1</v>
      </c>
      <c r="L96" s="192">
        <v>1</v>
      </c>
      <c r="M96" s="276"/>
      <c r="N96" s="186"/>
      <c r="O96" s="436"/>
      <c r="P96" s="298">
        <v>0.12</v>
      </c>
      <c r="Q96" s="299"/>
      <c r="R96" s="210"/>
      <c r="S96" s="448"/>
    </row>
    <row r="97" spans="1:19" ht="37.5" customHeight="1">
      <c r="A97" s="449" t="s">
        <v>297</v>
      </c>
      <c r="B97" s="379"/>
      <c r="C97" s="185"/>
      <c r="D97" s="185"/>
      <c r="E97" s="218"/>
      <c r="F97" s="446"/>
      <c r="G97" s="435"/>
      <c r="H97" s="284" t="s">
        <v>61</v>
      </c>
      <c r="I97" s="191">
        <v>1</v>
      </c>
      <c r="J97" s="192">
        <v>1</v>
      </c>
      <c r="K97" s="191">
        <v>1</v>
      </c>
      <c r="L97" s="192">
        <v>1</v>
      </c>
      <c r="M97" s="276"/>
      <c r="N97" s="186"/>
      <c r="O97" s="436"/>
      <c r="P97" s="298">
        <v>0.12</v>
      </c>
      <c r="Q97" s="299"/>
      <c r="R97" s="210" t="s">
        <v>258</v>
      </c>
      <c r="S97" s="448"/>
    </row>
    <row r="98" spans="1:19" ht="37.5" customHeight="1" thickBot="1">
      <c r="B98" s="184"/>
      <c r="C98" s="185"/>
      <c r="D98" s="185"/>
      <c r="E98" s="218"/>
      <c r="F98" s="446"/>
      <c r="G98" s="435"/>
      <c r="H98" s="190" t="s">
        <v>65</v>
      </c>
      <c r="I98" s="191">
        <v>1</v>
      </c>
      <c r="J98" s="192">
        <v>1</v>
      </c>
      <c r="K98" s="191">
        <v>1</v>
      </c>
      <c r="L98" s="192">
        <v>1</v>
      </c>
      <c r="M98" s="276"/>
      <c r="N98" s="186"/>
      <c r="O98" s="436"/>
      <c r="P98" s="298">
        <v>0.12</v>
      </c>
      <c r="Q98" s="299"/>
      <c r="R98" s="310"/>
      <c r="S98" s="448"/>
    </row>
    <row r="99" spans="1:19" ht="55.5" customHeight="1">
      <c r="B99" s="184"/>
      <c r="C99" s="185"/>
      <c r="D99" s="185"/>
      <c r="E99" s="218"/>
      <c r="F99" s="446"/>
      <c r="G99" s="435"/>
      <c r="H99" s="450" t="s">
        <v>292</v>
      </c>
      <c r="I99" s="320">
        <v>1</v>
      </c>
      <c r="J99" s="321">
        <v>1</v>
      </c>
      <c r="K99" s="320">
        <v>0</v>
      </c>
      <c r="L99" s="321">
        <v>1</v>
      </c>
      <c r="M99" s="276"/>
      <c r="N99" s="186"/>
      <c r="O99" s="436"/>
      <c r="P99" s="298">
        <v>0.15</v>
      </c>
      <c r="Q99" s="451"/>
      <c r="R99" s="452" t="s">
        <v>293</v>
      </c>
      <c r="S99" s="448"/>
    </row>
    <row r="100" spans="1:19" ht="37.5" customHeight="1" thickBot="1">
      <c r="B100" s="227"/>
      <c r="C100" s="229"/>
      <c r="D100" s="229"/>
      <c r="E100" s="230"/>
      <c r="F100" s="453"/>
      <c r="G100" s="441"/>
      <c r="H100" s="442" t="s">
        <v>294</v>
      </c>
      <c r="I100" s="234">
        <v>0</v>
      </c>
      <c r="J100" s="235">
        <v>1</v>
      </c>
      <c r="K100" s="234">
        <v>0</v>
      </c>
      <c r="L100" s="235">
        <v>1</v>
      </c>
      <c r="M100" s="386"/>
      <c r="N100" s="237"/>
      <c r="O100" s="443"/>
      <c r="P100" s="454">
        <v>0.05</v>
      </c>
      <c r="Q100" s="455"/>
      <c r="R100" s="409"/>
      <c r="S100" s="448"/>
    </row>
    <row r="101" spans="1:19" ht="59.25" customHeight="1">
      <c r="B101" s="456" t="s">
        <v>571</v>
      </c>
      <c r="C101" s="457" t="s">
        <v>243</v>
      </c>
      <c r="D101" s="170" t="s">
        <v>289</v>
      </c>
      <c r="E101" s="458">
        <v>223000</v>
      </c>
      <c r="F101" s="173" t="s">
        <v>572</v>
      </c>
      <c r="G101" s="459" t="s">
        <v>287</v>
      </c>
      <c r="H101" s="342" t="s">
        <v>60</v>
      </c>
      <c r="I101" s="176">
        <v>0</v>
      </c>
      <c r="J101" s="177">
        <v>0</v>
      </c>
      <c r="K101" s="176">
        <v>0</v>
      </c>
      <c r="L101" s="177">
        <v>0</v>
      </c>
      <c r="M101" s="460" t="s">
        <v>295</v>
      </c>
      <c r="N101" s="171" t="s">
        <v>573</v>
      </c>
      <c r="O101" s="461">
        <v>46722</v>
      </c>
      <c r="P101" s="349">
        <v>0.1</v>
      </c>
      <c r="Q101" s="462"/>
      <c r="R101" s="351" t="s">
        <v>574</v>
      </c>
      <c r="S101" s="448"/>
    </row>
    <row r="102" spans="1:19" ht="59.25" customHeight="1">
      <c r="B102" s="463"/>
      <c r="C102" s="276"/>
      <c r="D102" s="185"/>
      <c r="E102" s="464"/>
      <c r="F102" s="188"/>
      <c r="G102" s="465"/>
      <c r="H102" s="338" t="s">
        <v>62</v>
      </c>
      <c r="I102" s="264">
        <v>0</v>
      </c>
      <c r="J102" s="265">
        <v>1</v>
      </c>
      <c r="K102" s="264">
        <v>0</v>
      </c>
      <c r="L102" s="265">
        <v>0</v>
      </c>
      <c r="M102" s="184"/>
      <c r="N102" s="186"/>
      <c r="O102" s="466"/>
      <c r="P102" s="437">
        <v>0.15</v>
      </c>
      <c r="Q102" s="438"/>
      <c r="R102" s="392" t="s">
        <v>575</v>
      </c>
      <c r="S102" s="448"/>
    </row>
    <row r="103" spans="1:19" ht="59.25" customHeight="1">
      <c r="B103" s="463"/>
      <c r="C103" s="276"/>
      <c r="D103" s="185"/>
      <c r="E103" s="464"/>
      <c r="F103" s="188"/>
      <c r="G103" s="465"/>
      <c r="H103" s="338" t="s">
        <v>296</v>
      </c>
      <c r="I103" s="264">
        <v>1</v>
      </c>
      <c r="J103" s="265">
        <v>1</v>
      </c>
      <c r="K103" s="264">
        <v>0</v>
      </c>
      <c r="L103" s="265">
        <v>1</v>
      </c>
      <c r="M103" s="184"/>
      <c r="N103" s="186"/>
      <c r="O103" s="466"/>
      <c r="P103" s="437">
        <v>0.15</v>
      </c>
      <c r="Q103" s="438"/>
      <c r="R103" s="467" t="s">
        <v>576</v>
      </c>
      <c r="S103" s="448"/>
    </row>
    <row r="104" spans="1:19" ht="59.25" customHeight="1">
      <c r="B104" s="463"/>
      <c r="C104" s="276"/>
      <c r="D104" s="185"/>
      <c r="E104" s="464"/>
      <c r="F104" s="188"/>
      <c r="G104" s="465"/>
      <c r="H104" s="338" t="s">
        <v>68</v>
      </c>
      <c r="I104" s="264">
        <v>1</v>
      </c>
      <c r="J104" s="265">
        <v>1</v>
      </c>
      <c r="K104" s="264">
        <v>0</v>
      </c>
      <c r="L104" s="265">
        <v>1</v>
      </c>
      <c r="M104" s="184"/>
      <c r="N104" s="186"/>
      <c r="O104" s="466"/>
      <c r="P104" s="437">
        <v>0.17</v>
      </c>
      <c r="Q104" s="438"/>
      <c r="R104" s="210"/>
      <c r="S104" s="448"/>
    </row>
    <row r="105" spans="1:19" ht="59.25" customHeight="1">
      <c r="B105" s="463"/>
      <c r="C105" s="276"/>
      <c r="D105" s="185"/>
      <c r="E105" s="464"/>
      <c r="F105" s="188"/>
      <c r="G105" s="465"/>
      <c r="H105" s="338" t="s">
        <v>65</v>
      </c>
      <c r="I105" s="264">
        <v>1</v>
      </c>
      <c r="J105" s="265">
        <v>1</v>
      </c>
      <c r="K105" s="264">
        <v>1</v>
      </c>
      <c r="L105" s="265">
        <v>1</v>
      </c>
      <c r="M105" s="184"/>
      <c r="N105" s="186"/>
      <c r="O105" s="466"/>
      <c r="P105" s="437">
        <v>0.17</v>
      </c>
      <c r="Q105" s="438"/>
      <c r="R105" s="210" t="s">
        <v>577</v>
      </c>
      <c r="S105" s="448"/>
    </row>
    <row r="106" spans="1:19" ht="59.25" customHeight="1">
      <c r="A106" t="s">
        <v>297</v>
      </c>
      <c r="B106" s="463"/>
      <c r="C106" s="276"/>
      <c r="D106" s="185"/>
      <c r="E106" s="464"/>
      <c r="F106" s="188"/>
      <c r="G106" s="465"/>
      <c r="H106" s="338" t="s">
        <v>298</v>
      </c>
      <c r="I106" s="264">
        <v>1</v>
      </c>
      <c r="J106" s="265">
        <v>1</v>
      </c>
      <c r="K106" s="264">
        <v>1</v>
      </c>
      <c r="L106" s="265">
        <v>1</v>
      </c>
      <c r="M106" s="184"/>
      <c r="N106" s="186"/>
      <c r="O106" s="466"/>
      <c r="P106" s="437">
        <v>0.17</v>
      </c>
      <c r="Q106" s="438"/>
      <c r="R106" s="354"/>
      <c r="S106" s="448"/>
    </row>
    <row r="107" spans="1:19" ht="59.25" customHeight="1">
      <c r="B107" s="463"/>
      <c r="C107" s="276"/>
      <c r="D107" s="185"/>
      <c r="E107" s="464"/>
      <c r="F107" s="188"/>
      <c r="G107" s="465"/>
      <c r="H107" s="338" t="s">
        <v>299</v>
      </c>
      <c r="I107" s="264">
        <v>1</v>
      </c>
      <c r="J107" s="265">
        <v>1</v>
      </c>
      <c r="K107" s="264">
        <v>1</v>
      </c>
      <c r="L107" s="265">
        <v>1</v>
      </c>
      <c r="M107" s="184"/>
      <c r="N107" s="186"/>
      <c r="O107" s="466"/>
      <c r="P107" s="437">
        <v>0.17</v>
      </c>
      <c r="Q107" s="438"/>
      <c r="R107" s="354"/>
      <c r="S107" s="448"/>
    </row>
    <row r="108" spans="1:19" ht="59.25" customHeight="1">
      <c r="B108" s="463"/>
      <c r="C108" s="276"/>
      <c r="D108" s="185"/>
      <c r="E108" s="464"/>
      <c r="F108" s="188"/>
      <c r="G108" s="465"/>
      <c r="H108" s="338" t="s">
        <v>300</v>
      </c>
      <c r="I108" s="264">
        <v>1</v>
      </c>
      <c r="J108" s="265">
        <v>1</v>
      </c>
      <c r="K108" s="264">
        <v>1</v>
      </c>
      <c r="L108" s="265">
        <v>1</v>
      </c>
      <c r="M108" s="184"/>
      <c r="N108" s="186"/>
      <c r="O108" s="466"/>
      <c r="P108" s="437">
        <v>0.17</v>
      </c>
      <c r="Q108" s="438"/>
      <c r="R108" s="354"/>
      <c r="S108" s="448"/>
    </row>
    <row r="109" spans="1:19" ht="59.25" customHeight="1">
      <c r="B109" s="463"/>
      <c r="C109" s="276"/>
      <c r="D109" s="185"/>
      <c r="E109" s="464"/>
      <c r="F109" s="188"/>
      <c r="G109" s="465"/>
      <c r="H109" s="338" t="s">
        <v>301</v>
      </c>
      <c r="I109" s="264">
        <v>1</v>
      </c>
      <c r="J109" s="265">
        <v>1</v>
      </c>
      <c r="K109" s="264">
        <v>1</v>
      </c>
      <c r="L109" s="265">
        <v>1</v>
      </c>
      <c r="M109" s="184"/>
      <c r="N109" s="186"/>
      <c r="O109" s="466"/>
      <c r="P109" s="437">
        <v>0.17</v>
      </c>
      <c r="Q109" s="438"/>
      <c r="R109" s="354"/>
      <c r="S109" s="448"/>
    </row>
    <row r="110" spans="1:19" ht="59.25" customHeight="1">
      <c r="B110" s="463"/>
      <c r="C110" s="276"/>
      <c r="D110" s="185"/>
      <c r="E110" s="464"/>
      <c r="F110" s="188"/>
      <c r="G110" s="465"/>
      <c r="H110" s="338" t="s">
        <v>302</v>
      </c>
      <c r="I110" s="264">
        <v>1</v>
      </c>
      <c r="J110" s="265">
        <v>1</v>
      </c>
      <c r="K110" s="264">
        <v>1</v>
      </c>
      <c r="L110" s="265">
        <v>1</v>
      </c>
      <c r="M110" s="184"/>
      <c r="N110" s="186"/>
      <c r="O110" s="466"/>
      <c r="P110" s="437">
        <v>0.17</v>
      </c>
      <c r="Q110" s="438"/>
      <c r="R110" s="226" t="s">
        <v>271</v>
      </c>
      <c r="S110" s="448"/>
    </row>
    <row r="111" spans="1:19" ht="59.25" customHeight="1" thickBot="1">
      <c r="B111" s="468"/>
      <c r="C111" s="386"/>
      <c r="D111" s="229"/>
      <c r="E111" s="469"/>
      <c r="F111" s="231"/>
      <c r="G111" s="470"/>
      <c r="H111" s="471" t="s">
        <v>303</v>
      </c>
      <c r="I111" s="234">
        <v>1</v>
      </c>
      <c r="J111" s="235">
        <v>1</v>
      </c>
      <c r="K111" s="234">
        <v>1</v>
      </c>
      <c r="L111" s="235">
        <v>1</v>
      </c>
      <c r="M111" s="227"/>
      <c r="N111" s="237"/>
      <c r="O111" s="472"/>
      <c r="P111" s="437">
        <v>0.17</v>
      </c>
      <c r="Q111" s="445"/>
      <c r="R111" s="241"/>
      <c r="S111" s="448"/>
    </row>
    <row r="112" spans="1:19" ht="43.5" customHeight="1">
      <c r="B112" s="348" t="s">
        <v>578</v>
      </c>
      <c r="C112" s="170" t="s">
        <v>243</v>
      </c>
      <c r="D112" s="170" t="s">
        <v>289</v>
      </c>
      <c r="E112" s="211">
        <v>204000</v>
      </c>
      <c r="F112" s="473" t="s">
        <v>290</v>
      </c>
      <c r="G112" s="431" t="s">
        <v>287</v>
      </c>
      <c r="H112" s="263" t="s">
        <v>60</v>
      </c>
      <c r="I112" s="176">
        <v>0</v>
      </c>
      <c r="J112" s="177">
        <v>0</v>
      </c>
      <c r="K112" s="176">
        <v>0</v>
      </c>
      <c r="L112" s="177">
        <v>1</v>
      </c>
      <c r="M112" s="457" t="s">
        <v>304</v>
      </c>
      <c r="N112" s="171" t="s">
        <v>579</v>
      </c>
      <c r="O112" s="432">
        <v>46722</v>
      </c>
      <c r="P112" s="292">
        <v>0.1</v>
      </c>
      <c r="Q112" s="293"/>
      <c r="R112" s="215" t="s">
        <v>580</v>
      </c>
      <c r="S112" s="448"/>
    </row>
    <row r="113" spans="1:19" ht="53.25" customHeight="1">
      <c r="A113" t="s">
        <v>297</v>
      </c>
      <c r="B113" s="379"/>
      <c r="C113" s="185"/>
      <c r="D113" s="185"/>
      <c r="E113" s="218"/>
      <c r="F113" s="446"/>
      <c r="G113" s="447"/>
      <c r="H113" s="202" t="s">
        <v>62</v>
      </c>
      <c r="I113" s="264">
        <v>0</v>
      </c>
      <c r="J113" s="265">
        <v>1</v>
      </c>
      <c r="K113" s="264">
        <v>1</v>
      </c>
      <c r="L113" s="265">
        <v>1</v>
      </c>
      <c r="M113" s="276"/>
      <c r="N113" s="186"/>
      <c r="O113" s="436"/>
      <c r="P113" s="298">
        <v>0.1</v>
      </c>
      <c r="Q113" s="299"/>
      <c r="R113" s="392" t="s">
        <v>581</v>
      </c>
      <c r="S113" s="448"/>
    </row>
    <row r="114" spans="1:19" ht="53.25" customHeight="1">
      <c r="A114"/>
      <c r="B114" s="379"/>
      <c r="C114" s="185"/>
      <c r="D114" s="185"/>
      <c r="E114" s="218"/>
      <c r="F114" s="446"/>
      <c r="G114" s="447"/>
      <c r="H114" s="202" t="s">
        <v>63</v>
      </c>
      <c r="I114" s="264">
        <v>1</v>
      </c>
      <c r="J114" s="265">
        <v>1</v>
      </c>
      <c r="K114" s="264">
        <v>1</v>
      </c>
      <c r="L114" s="265">
        <v>1</v>
      </c>
      <c r="M114" s="276"/>
      <c r="N114" s="186"/>
      <c r="O114" s="436"/>
      <c r="P114" s="298">
        <v>0.1</v>
      </c>
      <c r="Q114" s="299"/>
      <c r="R114" s="474" t="s">
        <v>305</v>
      </c>
      <c r="S114" s="448"/>
    </row>
    <row r="115" spans="1:19" ht="59.25" customHeight="1" thickBot="1">
      <c r="B115" s="475"/>
      <c r="C115" s="229"/>
      <c r="D115" s="229"/>
      <c r="E115" s="230"/>
      <c r="F115" s="453"/>
      <c r="G115" s="441"/>
      <c r="H115" s="442"/>
      <c r="I115" s="234"/>
      <c r="J115" s="235"/>
      <c r="K115" s="234"/>
      <c r="L115" s="235"/>
      <c r="M115" s="386"/>
      <c r="N115" s="237"/>
      <c r="O115" s="443"/>
      <c r="P115" s="308"/>
      <c r="Q115" s="309"/>
      <c r="R115" s="476" t="s">
        <v>582</v>
      </c>
      <c r="S115" s="448"/>
    </row>
    <row r="116" spans="1:19" ht="43.5" customHeight="1">
      <c r="B116" s="348" t="s">
        <v>583</v>
      </c>
      <c r="C116" s="170" t="s">
        <v>243</v>
      </c>
      <c r="D116" s="170" t="s">
        <v>289</v>
      </c>
      <c r="E116" s="211">
        <v>222000</v>
      </c>
      <c r="F116" s="173" t="s">
        <v>290</v>
      </c>
      <c r="G116" s="174" t="s">
        <v>287</v>
      </c>
      <c r="H116" s="263" t="s">
        <v>34</v>
      </c>
      <c r="I116" s="176">
        <v>1</v>
      </c>
      <c r="J116" s="177">
        <v>1</v>
      </c>
      <c r="K116" s="176">
        <v>1</v>
      </c>
      <c r="L116" s="177">
        <v>1</v>
      </c>
      <c r="M116" s="460" t="s">
        <v>306</v>
      </c>
      <c r="N116" s="171" t="s">
        <v>584</v>
      </c>
      <c r="O116" s="432">
        <v>46813</v>
      </c>
      <c r="P116" s="292">
        <v>0.1</v>
      </c>
      <c r="Q116" s="293"/>
      <c r="R116" s="315" t="s">
        <v>569</v>
      </c>
      <c r="S116" s="434"/>
    </row>
    <row r="117" spans="1:19" ht="60" customHeight="1">
      <c r="B117" s="379"/>
      <c r="C117" s="185"/>
      <c r="D117" s="185"/>
      <c r="E117" s="218"/>
      <c r="F117" s="188"/>
      <c r="G117" s="477"/>
      <c r="H117" s="202" t="s">
        <v>4</v>
      </c>
      <c r="I117" s="191">
        <v>0</v>
      </c>
      <c r="J117" s="192">
        <v>1</v>
      </c>
      <c r="K117" s="191">
        <v>1</v>
      </c>
      <c r="L117" s="192">
        <v>1</v>
      </c>
      <c r="M117" s="184"/>
      <c r="N117" s="186"/>
      <c r="O117" s="436"/>
      <c r="P117" s="298">
        <v>0.1</v>
      </c>
      <c r="Q117" s="299"/>
      <c r="R117" s="392" t="s">
        <v>585</v>
      </c>
      <c r="S117" s="434"/>
    </row>
    <row r="118" spans="1:19" ht="43.5" customHeight="1">
      <c r="B118" s="379"/>
      <c r="C118" s="185"/>
      <c r="D118" s="185"/>
      <c r="E118" s="218"/>
      <c r="F118" s="188"/>
      <c r="G118" s="477"/>
      <c r="H118" s="202" t="s">
        <v>247</v>
      </c>
      <c r="I118" s="191">
        <v>1</v>
      </c>
      <c r="J118" s="192">
        <v>1</v>
      </c>
      <c r="K118" s="191">
        <v>1</v>
      </c>
      <c r="L118" s="192">
        <v>1</v>
      </c>
      <c r="M118" s="184"/>
      <c r="N118" s="186"/>
      <c r="O118" s="436"/>
      <c r="P118" s="298">
        <v>0.1</v>
      </c>
      <c r="Q118" s="299"/>
      <c r="R118" s="210"/>
      <c r="S118" s="434"/>
    </row>
    <row r="119" spans="1:19" ht="43.5" customHeight="1">
      <c r="A119" t="s">
        <v>297</v>
      </c>
      <c r="B119" s="379"/>
      <c r="C119" s="185"/>
      <c r="D119" s="185"/>
      <c r="E119" s="218"/>
      <c r="F119" s="188"/>
      <c r="G119" s="477"/>
      <c r="H119" s="202" t="s">
        <v>62</v>
      </c>
      <c r="I119" s="191">
        <v>1</v>
      </c>
      <c r="J119" s="192">
        <v>1</v>
      </c>
      <c r="K119" s="191">
        <v>1</v>
      </c>
      <c r="L119" s="192">
        <v>1</v>
      </c>
      <c r="M119" s="184"/>
      <c r="N119" s="186"/>
      <c r="O119" s="436"/>
      <c r="P119" s="298">
        <v>0.1</v>
      </c>
      <c r="Q119" s="299"/>
      <c r="R119" s="373"/>
      <c r="S119" s="434"/>
    </row>
    <row r="120" spans="1:19" ht="43.5" customHeight="1">
      <c r="A120"/>
      <c r="B120" s="379"/>
      <c r="C120" s="185"/>
      <c r="D120" s="185"/>
      <c r="E120" s="218"/>
      <c r="F120" s="188"/>
      <c r="G120" s="477"/>
      <c r="H120" s="202" t="s">
        <v>64</v>
      </c>
      <c r="I120" s="191">
        <v>1</v>
      </c>
      <c r="J120" s="192">
        <v>1</v>
      </c>
      <c r="K120" s="191">
        <v>1</v>
      </c>
      <c r="L120" s="192">
        <v>1</v>
      </c>
      <c r="M120" s="184"/>
      <c r="N120" s="186"/>
      <c r="O120" s="436"/>
      <c r="P120" s="298">
        <v>0.1</v>
      </c>
      <c r="Q120" s="299"/>
      <c r="R120" s="373"/>
      <c r="S120" s="434"/>
    </row>
    <row r="121" spans="1:19" ht="53.25" customHeight="1">
      <c r="B121" s="379"/>
      <c r="C121" s="185"/>
      <c r="D121" s="185"/>
      <c r="E121" s="218"/>
      <c r="F121" s="188"/>
      <c r="G121" s="477"/>
      <c r="H121" s="202" t="s">
        <v>66</v>
      </c>
      <c r="I121" s="191">
        <v>1</v>
      </c>
      <c r="J121" s="192">
        <v>1</v>
      </c>
      <c r="K121" s="191">
        <v>1</v>
      </c>
      <c r="L121" s="192">
        <v>1</v>
      </c>
      <c r="M121" s="184"/>
      <c r="N121" s="186"/>
      <c r="O121" s="436"/>
      <c r="P121" s="298">
        <v>0.1</v>
      </c>
      <c r="Q121" s="299"/>
      <c r="R121" s="474" t="s">
        <v>305</v>
      </c>
      <c r="S121" s="434"/>
    </row>
    <row r="122" spans="1:19" ht="43.5" customHeight="1">
      <c r="B122" s="379"/>
      <c r="C122" s="185"/>
      <c r="D122" s="185"/>
      <c r="E122" s="218"/>
      <c r="F122" s="188"/>
      <c r="G122" s="477"/>
      <c r="H122" s="190" t="s">
        <v>68</v>
      </c>
      <c r="I122" s="191">
        <v>1</v>
      </c>
      <c r="J122" s="192">
        <v>1</v>
      </c>
      <c r="K122" s="191">
        <v>1</v>
      </c>
      <c r="L122" s="192">
        <v>1</v>
      </c>
      <c r="M122" s="184"/>
      <c r="N122" s="186"/>
      <c r="O122" s="436"/>
      <c r="P122" s="298">
        <v>0.1</v>
      </c>
      <c r="Q122" s="299"/>
      <c r="R122" s="373"/>
      <c r="S122" s="434"/>
    </row>
    <row r="123" spans="1:19" ht="32.25" customHeight="1" thickBot="1">
      <c r="B123" s="184"/>
      <c r="C123" s="185"/>
      <c r="D123" s="185"/>
      <c r="E123" s="218"/>
      <c r="F123" s="188"/>
      <c r="G123" s="477"/>
      <c r="H123" s="284" t="s">
        <v>65</v>
      </c>
      <c r="I123" s="264">
        <v>1</v>
      </c>
      <c r="J123" s="265">
        <v>1</v>
      </c>
      <c r="K123" s="264">
        <v>1</v>
      </c>
      <c r="L123" s="265">
        <v>1</v>
      </c>
      <c r="M123" s="184"/>
      <c r="N123" s="186"/>
      <c r="O123" s="436"/>
      <c r="P123" s="298">
        <v>0.1</v>
      </c>
      <c r="Q123" s="299"/>
      <c r="R123" s="201"/>
    </row>
    <row r="124" spans="1:19" ht="43.5" customHeight="1">
      <c r="B124" s="348" t="s">
        <v>586</v>
      </c>
      <c r="C124" s="170" t="s">
        <v>243</v>
      </c>
      <c r="D124" s="170" t="s">
        <v>289</v>
      </c>
      <c r="E124" s="211">
        <v>228000</v>
      </c>
      <c r="F124" s="173" t="s">
        <v>290</v>
      </c>
      <c r="G124" s="174" t="s">
        <v>287</v>
      </c>
      <c r="H124" s="263" t="s">
        <v>4</v>
      </c>
      <c r="I124" s="176">
        <v>0</v>
      </c>
      <c r="J124" s="177">
        <v>0</v>
      </c>
      <c r="K124" s="176">
        <v>0</v>
      </c>
      <c r="L124" s="177">
        <v>1</v>
      </c>
      <c r="M124" s="478" t="s">
        <v>587</v>
      </c>
      <c r="N124" s="171" t="s">
        <v>588</v>
      </c>
      <c r="O124" s="432">
        <v>46813</v>
      </c>
      <c r="P124" s="292">
        <v>0.1</v>
      </c>
      <c r="Q124" s="293"/>
      <c r="R124" s="215" t="s">
        <v>580</v>
      </c>
      <c r="S124" s="479"/>
    </row>
    <row r="125" spans="1:19" ht="60" customHeight="1">
      <c r="B125" s="379"/>
      <c r="C125" s="185"/>
      <c r="D125" s="185"/>
      <c r="E125" s="218"/>
      <c r="F125" s="188"/>
      <c r="G125" s="477"/>
      <c r="H125" s="202" t="s">
        <v>247</v>
      </c>
      <c r="I125" s="191">
        <v>0</v>
      </c>
      <c r="J125" s="192">
        <v>1</v>
      </c>
      <c r="K125" s="191">
        <v>0</v>
      </c>
      <c r="L125" s="192">
        <v>1</v>
      </c>
      <c r="M125" s="276"/>
      <c r="N125" s="186"/>
      <c r="O125" s="436"/>
      <c r="P125" s="298">
        <v>0.1</v>
      </c>
      <c r="Q125" s="299"/>
      <c r="R125" s="392" t="s">
        <v>585</v>
      </c>
      <c r="S125" s="479"/>
    </row>
    <row r="126" spans="1:19" ht="43.5" customHeight="1">
      <c r="A126" t="s">
        <v>297</v>
      </c>
      <c r="B126" s="379"/>
      <c r="C126" s="185"/>
      <c r="D126" s="185"/>
      <c r="E126" s="218"/>
      <c r="F126" s="188"/>
      <c r="G126" s="477"/>
      <c r="H126" s="284" t="s">
        <v>249</v>
      </c>
      <c r="I126" s="191">
        <v>1</v>
      </c>
      <c r="J126" s="192">
        <v>1</v>
      </c>
      <c r="K126" s="191">
        <v>1</v>
      </c>
      <c r="L126" s="192">
        <v>1</v>
      </c>
      <c r="M126" s="276"/>
      <c r="N126" s="186"/>
      <c r="O126" s="436"/>
      <c r="P126" s="298">
        <v>0.1</v>
      </c>
      <c r="Q126" s="299"/>
      <c r="R126" s="210" t="s">
        <v>589</v>
      </c>
      <c r="S126" s="479"/>
    </row>
    <row r="127" spans="1:19" ht="53.25" customHeight="1">
      <c r="B127" s="379"/>
      <c r="C127" s="185"/>
      <c r="D127" s="185"/>
      <c r="E127" s="218"/>
      <c r="F127" s="188"/>
      <c r="G127" s="477"/>
      <c r="H127" s="202" t="s">
        <v>63</v>
      </c>
      <c r="I127" s="191">
        <v>1</v>
      </c>
      <c r="J127" s="192">
        <v>1</v>
      </c>
      <c r="K127" s="191">
        <v>1</v>
      </c>
      <c r="L127" s="192">
        <v>1</v>
      </c>
      <c r="M127" s="276"/>
      <c r="N127" s="186"/>
      <c r="O127" s="436"/>
      <c r="P127" s="298">
        <v>0.1</v>
      </c>
      <c r="Q127" s="299"/>
      <c r="R127" s="474" t="s">
        <v>305</v>
      </c>
      <c r="S127" s="479"/>
    </row>
    <row r="128" spans="1:19" ht="56.25" customHeight="1" thickBot="1">
      <c r="B128" s="379"/>
      <c r="C128" s="185"/>
      <c r="D128" s="185"/>
      <c r="E128" s="218"/>
      <c r="F128" s="188"/>
      <c r="G128" s="477"/>
      <c r="H128" s="202" t="s">
        <v>61</v>
      </c>
      <c r="I128" s="191">
        <v>1</v>
      </c>
      <c r="J128" s="192">
        <v>1</v>
      </c>
      <c r="K128" s="191">
        <v>1</v>
      </c>
      <c r="L128" s="192">
        <v>1</v>
      </c>
      <c r="M128" s="276"/>
      <c r="N128" s="186"/>
      <c r="O128" s="436"/>
      <c r="P128" s="298">
        <v>0.1</v>
      </c>
      <c r="Q128" s="299"/>
      <c r="R128" s="310" t="s">
        <v>590</v>
      </c>
      <c r="S128" s="479"/>
    </row>
    <row r="129" spans="1:19" ht="43.5" customHeight="1">
      <c r="B129" s="348" t="s">
        <v>591</v>
      </c>
      <c r="C129" s="170" t="s">
        <v>253</v>
      </c>
      <c r="D129" s="170" t="s">
        <v>289</v>
      </c>
      <c r="E129" s="211">
        <v>230000</v>
      </c>
      <c r="F129" s="473" t="s">
        <v>290</v>
      </c>
      <c r="G129" s="431" t="s">
        <v>287</v>
      </c>
      <c r="H129" s="263" t="s">
        <v>4</v>
      </c>
      <c r="I129" s="176">
        <v>0</v>
      </c>
      <c r="J129" s="177">
        <v>0</v>
      </c>
      <c r="K129" s="176">
        <v>0</v>
      </c>
      <c r="L129" s="177">
        <v>1</v>
      </c>
      <c r="M129" s="457" t="s">
        <v>587</v>
      </c>
      <c r="N129" s="171" t="s">
        <v>592</v>
      </c>
      <c r="O129" s="432">
        <v>46813</v>
      </c>
      <c r="P129" s="292">
        <v>0.1</v>
      </c>
      <c r="Q129" s="293"/>
      <c r="R129" s="315" t="s">
        <v>593</v>
      </c>
      <c r="S129" s="479"/>
    </row>
    <row r="130" spans="1:19" ht="43.5" customHeight="1">
      <c r="B130" s="379"/>
      <c r="C130" s="185"/>
      <c r="D130" s="185"/>
      <c r="E130" s="218"/>
      <c r="F130" s="446"/>
      <c r="G130" s="435"/>
      <c r="H130" s="202" t="s">
        <v>247</v>
      </c>
      <c r="I130" s="191">
        <v>0</v>
      </c>
      <c r="J130" s="192">
        <v>1</v>
      </c>
      <c r="K130" s="191">
        <v>1</v>
      </c>
      <c r="L130" s="192">
        <v>1</v>
      </c>
      <c r="M130" s="276"/>
      <c r="N130" s="186"/>
      <c r="O130" s="436"/>
      <c r="P130" s="298">
        <v>0.1</v>
      </c>
      <c r="Q130" s="299"/>
      <c r="R130" s="392" t="s">
        <v>585</v>
      </c>
      <c r="S130" s="479"/>
    </row>
    <row r="131" spans="1:19" ht="43.5" customHeight="1">
      <c r="A131" t="s">
        <v>297</v>
      </c>
      <c r="B131" s="379"/>
      <c r="C131" s="185"/>
      <c r="D131" s="185"/>
      <c r="E131" s="218"/>
      <c r="F131" s="446"/>
      <c r="G131" s="435"/>
      <c r="H131" s="284" t="s">
        <v>249</v>
      </c>
      <c r="I131" s="191">
        <v>1</v>
      </c>
      <c r="J131" s="192">
        <v>1</v>
      </c>
      <c r="K131" s="191">
        <v>1</v>
      </c>
      <c r="L131" s="192">
        <v>1</v>
      </c>
      <c r="M131" s="276"/>
      <c r="N131" s="186"/>
      <c r="O131" s="436"/>
      <c r="P131" s="298">
        <v>0.1</v>
      </c>
      <c r="Q131" s="299"/>
      <c r="R131" s="210"/>
      <c r="S131" s="479"/>
    </row>
    <row r="132" spans="1:19" ht="32.25" customHeight="1">
      <c r="A132"/>
      <c r="B132" s="184"/>
      <c r="C132" s="185"/>
      <c r="D132" s="185"/>
      <c r="E132" s="218"/>
      <c r="F132" s="446"/>
      <c r="G132" s="435"/>
      <c r="H132" s="190" t="s">
        <v>63</v>
      </c>
      <c r="I132" s="191">
        <v>1</v>
      </c>
      <c r="J132" s="192">
        <v>1</v>
      </c>
      <c r="K132" s="191">
        <v>1</v>
      </c>
      <c r="L132" s="192">
        <v>1</v>
      </c>
      <c r="M132" s="276"/>
      <c r="N132" s="186"/>
      <c r="O132" s="436"/>
      <c r="P132" s="298">
        <v>0.1</v>
      </c>
      <c r="Q132" s="299"/>
      <c r="R132" s="210"/>
      <c r="S132" s="479"/>
    </row>
    <row r="133" spans="1:19" ht="59.25" customHeight="1" thickBot="1">
      <c r="B133" s="227"/>
      <c r="C133" s="229"/>
      <c r="D133" s="229"/>
      <c r="E133" s="230"/>
      <c r="F133" s="453"/>
      <c r="G133" s="441"/>
      <c r="H133" s="442" t="s">
        <v>65</v>
      </c>
      <c r="I133" s="439">
        <v>1</v>
      </c>
      <c r="J133" s="440">
        <v>1</v>
      </c>
      <c r="K133" s="439">
        <v>1</v>
      </c>
      <c r="L133" s="440">
        <v>1</v>
      </c>
      <c r="M133" s="386"/>
      <c r="N133" s="237"/>
      <c r="O133" s="443"/>
      <c r="P133" s="298">
        <v>0.1</v>
      </c>
      <c r="Q133" s="299"/>
      <c r="R133" s="480" t="s">
        <v>305</v>
      </c>
      <c r="S133" s="479"/>
    </row>
    <row r="134" spans="1:19" ht="53.25" customHeight="1">
      <c r="B134" s="348" t="s">
        <v>594</v>
      </c>
      <c r="C134" s="170" t="s">
        <v>253</v>
      </c>
      <c r="D134" s="170" t="s">
        <v>289</v>
      </c>
      <c r="E134" s="481">
        <v>217000</v>
      </c>
      <c r="F134" s="358" t="s">
        <v>290</v>
      </c>
      <c r="G134" s="482" t="s">
        <v>287</v>
      </c>
      <c r="H134" s="263" t="s">
        <v>60</v>
      </c>
      <c r="I134" s="176">
        <v>0</v>
      </c>
      <c r="J134" s="177">
        <v>0</v>
      </c>
      <c r="K134" s="176">
        <v>0</v>
      </c>
      <c r="L134" s="177">
        <v>0</v>
      </c>
      <c r="M134" s="478" t="s">
        <v>306</v>
      </c>
      <c r="N134" s="171" t="s">
        <v>584</v>
      </c>
      <c r="O134" s="432">
        <v>46784</v>
      </c>
      <c r="P134" s="483">
        <v>0.1</v>
      </c>
      <c r="Q134" s="293"/>
      <c r="R134" s="351" t="s">
        <v>595</v>
      </c>
      <c r="S134" s="448"/>
    </row>
    <row r="135" spans="1:19" ht="53.25" customHeight="1">
      <c r="A135" t="s">
        <v>297</v>
      </c>
      <c r="B135" s="379"/>
      <c r="C135" s="185"/>
      <c r="D135" s="185"/>
      <c r="E135" s="185"/>
      <c r="F135" s="294"/>
      <c r="G135" s="484"/>
      <c r="H135" s="202" t="s">
        <v>66</v>
      </c>
      <c r="I135" s="191">
        <v>0</v>
      </c>
      <c r="J135" s="192">
        <v>1</v>
      </c>
      <c r="K135" s="191">
        <v>0</v>
      </c>
      <c r="L135" s="192">
        <v>0</v>
      </c>
      <c r="M135" s="276"/>
      <c r="N135" s="186"/>
      <c r="O135" s="436"/>
      <c r="P135" s="485">
        <v>0.12</v>
      </c>
      <c r="Q135" s="299"/>
      <c r="R135" s="392" t="s">
        <v>596</v>
      </c>
      <c r="S135" s="448"/>
    </row>
    <row r="136" spans="1:19" ht="53.25" customHeight="1">
      <c r="A136"/>
      <c r="B136" s="379"/>
      <c r="C136" s="185"/>
      <c r="D136" s="185"/>
      <c r="E136" s="185"/>
      <c r="F136" s="294"/>
      <c r="G136" s="484"/>
      <c r="H136" s="202" t="s">
        <v>68</v>
      </c>
      <c r="I136" s="191">
        <v>0</v>
      </c>
      <c r="J136" s="192">
        <v>1</v>
      </c>
      <c r="K136" s="191">
        <v>0</v>
      </c>
      <c r="L136" s="192">
        <v>1</v>
      </c>
      <c r="M136" s="276"/>
      <c r="N136" s="186"/>
      <c r="O136" s="436"/>
      <c r="P136" s="298">
        <v>0.15</v>
      </c>
      <c r="Q136" s="299"/>
      <c r="R136" s="467" t="s">
        <v>597</v>
      </c>
      <c r="S136" s="448"/>
    </row>
    <row r="137" spans="1:19" ht="43.5" customHeight="1" thickBot="1">
      <c r="B137" s="475"/>
      <c r="C137" s="229"/>
      <c r="D137" s="229"/>
      <c r="E137" s="229"/>
      <c r="F137" s="302"/>
      <c r="G137" s="486"/>
      <c r="H137" s="233" t="s">
        <v>65</v>
      </c>
      <c r="I137" s="304">
        <v>1</v>
      </c>
      <c r="J137" s="305">
        <v>1</v>
      </c>
      <c r="K137" s="304">
        <v>1</v>
      </c>
      <c r="L137" s="305">
        <v>1</v>
      </c>
      <c r="M137" s="386"/>
      <c r="N137" s="237"/>
      <c r="O137" s="443"/>
      <c r="P137" s="308">
        <v>0.15</v>
      </c>
      <c r="Q137" s="309"/>
      <c r="R137" s="207" t="s">
        <v>258</v>
      </c>
      <c r="S137" s="448"/>
    </row>
    <row r="138" spans="1:19" ht="53.25" customHeight="1">
      <c r="B138" s="348" t="s">
        <v>598</v>
      </c>
      <c r="C138" s="170" t="s">
        <v>253</v>
      </c>
      <c r="D138" s="170" t="s">
        <v>289</v>
      </c>
      <c r="E138" s="481">
        <v>212000</v>
      </c>
      <c r="F138" s="358" t="s">
        <v>290</v>
      </c>
      <c r="G138" s="482" t="s">
        <v>287</v>
      </c>
      <c r="H138" s="263" t="s">
        <v>60</v>
      </c>
      <c r="I138" s="176">
        <v>0</v>
      </c>
      <c r="J138" s="177">
        <v>1</v>
      </c>
      <c r="K138" s="176">
        <v>0</v>
      </c>
      <c r="L138" s="177">
        <v>1</v>
      </c>
      <c r="M138" s="360">
        <v>46844</v>
      </c>
      <c r="N138" s="171" t="s">
        <v>599</v>
      </c>
      <c r="O138" s="432">
        <v>46844</v>
      </c>
      <c r="P138" s="487">
        <v>0.1</v>
      </c>
      <c r="Q138" s="293"/>
      <c r="R138" s="351" t="s">
        <v>600</v>
      </c>
      <c r="S138" s="448"/>
    </row>
    <row r="139" spans="1:19" ht="53.25" customHeight="1">
      <c r="B139" s="379"/>
      <c r="C139" s="185"/>
      <c r="D139" s="185"/>
      <c r="E139" s="185"/>
      <c r="F139" s="294"/>
      <c r="G139" s="488"/>
      <c r="H139" s="338" t="s">
        <v>307</v>
      </c>
      <c r="I139" s="191">
        <v>1</v>
      </c>
      <c r="J139" s="192">
        <v>1</v>
      </c>
      <c r="K139" s="191">
        <v>0</v>
      </c>
      <c r="L139" s="192">
        <v>1</v>
      </c>
      <c r="M139" s="391"/>
      <c r="N139" s="186"/>
      <c r="O139" s="436"/>
      <c r="P139" s="489">
        <v>0.1</v>
      </c>
      <c r="Q139" s="299"/>
      <c r="R139" s="392" t="s">
        <v>601</v>
      </c>
      <c r="S139" s="448"/>
    </row>
    <row r="140" spans="1:19" ht="53.25" customHeight="1">
      <c r="A140"/>
      <c r="B140" s="379"/>
      <c r="C140" s="185"/>
      <c r="D140" s="185"/>
      <c r="E140" s="185"/>
      <c r="F140" s="294"/>
      <c r="G140" s="488"/>
      <c r="H140" s="202" t="s">
        <v>308</v>
      </c>
      <c r="I140" s="191">
        <v>1</v>
      </c>
      <c r="J140" s="192">
        <v>1</v>
      </c>
      <c r="K140" s="191">
        <v>0</v>
      </c>
      <c r="L140" s="192">
        <v>1</v>
      </c>
      <c r="M140" s="391"/>
      <c r="N140" s="186"/>
      <c r="O140" s="436"/>
      <c r="P140" s="298">
        <v>0.15</v>
      </c>
      <c r="Q140" s="299"/>
      <c r="R140" s="467" t="s">
        <v>597</v>
      </c>
      <c r="S140" s="448"/>
    </row>
    <row r="141" spans="1:19" ht="53.25" customHeight="1">
      <c r="A141" t="s">
        <v>297</v>
      </c>
      <c r="B141" s="379"/>
      <c r="C141" s="185"/>
      <c r="D141" s="185"/>
      <c r="E141" s="185"/>
      <c r="F141" s="294"/>
      <c r="G141" s="484"/>
      <c r="H141" s="202" t="s">
        <v>68</v>
      </c>
      <c r="I141" s="191">
        <v>1</v>
      </c>
      <c r="J141" s="192">
        <v>1</v>
      </c>
      <c r="K141" s="191">
        <v>1</v>
      </c>
      <c r="L141" s="192">
        <v>1</v>
      </c>
      <c r="M141" s="184"/>
      <c r="N141" s="186"/>
      <c r="O141" s="436"/>
      <c r="P141" s="298">
        <v>0.15</v>
      </c>
      <c r="Q141" s="299"/>
      <c r="R141" s="210"/>
      <c r="S141" s="448"/>
    </row>
    <row r="142" spans="1:19" ht="53.25" customHeight="1">
      <c r="B142" s="379"/>
      <c r="C142" s="185"/>
      <c r="D142" s="185"/>
      <c r="E142" s="185"/>
      <c r="F142" s="294"/>
      <c r="G142" s="484"/>
      <c r="H142" s="202" t="s">
        <v>65</v>
      </c>
      <c r="I142" s="191">
        <v>1</v>
      </c>
      <c r="J142" s="192">
        <v>1</v>
      </c>
      <c r="K142" s="191">
        <v>1</v>
      </c>
      <c r="L142" s="192">
        <v>1</v>
      </c>
      <c r="M142" s="184"/>
      <c r="N142" s="186"/>
      <c r="O142" s="436"/>
      <c r="P142" s="298">
        <v>0.15</v>
      </c>
      <c r="Q142" s="299"/>
      <c r="R142" s="467" t="s">
        <v>258</v>
      </c>
      <c r="S142" s="448"/>
    </row>
    <row r="143" spans="1:19" ht="53.25" customHeight="1" thickBot="1">
      <c r="B143" s="379"/>
      <c r="C143" s="185"/>
      <c r="D143" s="185"/>
      <c r="E143" s="185"/>
      <c r="F143" s="294"/>
      <c r="G143" s="484"/>
      <c r="H143" s="202" t="s">
        <v>309</v>
      </c>
      <c r="I143" s="191">
        <v>1</v>
      </c>
      <c r="J143" s="192">
        <v>1</v>
      </c>
      <c r="K143" s="191">
        <v>1</v>
      </c>
      <c r="L143" s="192">
        <v>1</v>
      </c>
      <c r="M143" s="184"/>
      <c r="N143" s="186"/>
      <c r="O143" s="436"/>
      <c r="P143" s="298">
        <v>0.15</v>
      </c>
      <c r="Q143" s="299"/>
      <c r="R143" s="467"/>
      <c r="S143" s="448"/>
    </row>
    <row r="144" spans="1:19" ht="43.5" customHeight="1" thickBot="1">
      <c r="B144" s="475"/>
      <c r="C144" s="229"/>
      <c r="D144" s="229"/>
      <c r="E144" s="229"/>
      <c r="F144" s="302"/>
      <c r="G144" s="486"/>
      <c r="H144" s="233" t="s">
        <v>310</v>
      </c>
      <c r="I144" s="304">
        <v>1</v>
      </c>
      <c r="J144" s="305">
        <v>1</v>
      </c>
      <c r="K144" s="304">
        <v>1</v>
      </c>
      <c r="L144" s="305">
        <v>1</v>
      </c>
      <c r="M144" s="227"/>
      <c r="N144" s="237"/>
      <c r="O144" s="443"/>
      <c r="P144" s="308">
        <v>0.05</v>
      </c>
      <c r="Q144" s="309"/>
      <c r="R144" s="490" t="s">
        <v>311</v>
      </c>
      <c r="S144" s="448"/>
    </row>
    <row r="145" spans="1:19" ht="53.25" customHeight="1">
      <c r="B145" s="379" t="s">
        <v>602</v>
      </c>
      <c r="C145" s="185" t="s">
        <v>253</v>
      </c>
      <c r="D145" s="185" t="s">
        <v>289</v>
      </c>
      <c r="E145" s="491">
        <v>203000</v>
      </c>
      <c r="F145" s="294" t="s">
        <v>290</v>
      </c>
      <c r="G145" s="488" t="s">
        <v>287</v>
      </c>
      <c r="H145" s="202" t="s">
        <v>4</v>
      </c>
      <c r="I145" s="191">
        <v>0</v>
      </c>
      <c r="J145" s="192">
        <v>0</v>
      </c>
      <c r="K145" s="191">
        <v>0</v>
      </c>
      <c r="L145" s="192">
        <v>0</v>
      </c>
      <c r="M145" s="391">
        <v>46905</v>
      </c>
      <c r="N145" s="186" t="s">
        <v>603</v>
      </c>
      <c r="O145" s="436">
        <v>46905</v>
      </c>
      <c r="P145" s="298">
        <v>0.15</v>
      </c>
      <c r="Q145" s="299"/>
      <c r="R145" s="351" t="s">
        <v>569</v>
      </c>
      <c r="S145" s="448"/>
    </row>
    <row r="146" spans="1:19" ht="53.25" customHeight="1">
      <c r="B146" s="379"/>
      <c r="C146" s="185"/>
      <c r="D146" s="185"/>
      <c r="E146" s="185"/>
      <c r="F146" s="294"/>
      <c r="G146" s="488"/>
      <c r="H146" s="202" t="s">
        <v>60</v>
      </c>
      <c r="I146" s="191">
        <v>0</v>
      </c>
      <c r="J146" s="192">
        <v>0</v>
      </c>
      <c r="K146" s="191">
        <v>0</v>
      </c>
      <c r="L146" s="192">
        <v>0</v>
      </c>
      <c r="M146" s="391"/>
      <c r="N146" s="186"/>
      <c r="O146" s="436"/>
      <c r="P146" s="298">
        <v>0.2</v>
      </c>
      <c r="Q146" s="299"/>
      <c r="R146" s="392" t="s">
        <v>604</v>
      </c>
      <c r="S146" s="448"/>
    </row>
    <row r="147" spans="1:19" ht="53.25" customHeight="1">
      <c r="A147" t="s">
        <v>297</v>
      </c>
      <c r="B147" s="379"/>
      <c r="C147" s="185"/>
      <c r="D147" s="185"/>
      <c r="E147" s="185"/>
      <c r="F147" s="294"/>
      <c r="G147" s="488"/>
      <c r="H147" s="338" t="s">
        <v>307</v>
      </c>
      <c r="I147" s="191">
        <v>0</v>
      </c>
      <c r="J147" s="192">
        <v>1</v>
      </c>
      <c r="K147" s="191">
        <v>0</v>
      </c>
      <c r="L147" s="192">
        <v>1</v>
      </c>
      <c r="M147" s="391"/>
      <c r="N147" s="186"/>
      <c r="O147" s="436"/>
      <c r="P147" s="298">
        <v>0.2</v>
      </c>
      <c r="Q147" s="299"/>
      <c r="R147" s="467" t="s">
        <v>312</v>
      </c>
      <c r="S147" s="448"/>
    </row>
    <row r="148" spans="1:19" ht="53.25" customHeight="1">
      <c r="B148" s="379"/>
      <c r="C148" s="185"/>
      <c r="D148" s="185"/>
      <c r="E148" s="185"/>
      <c r="F148" s="294"/>
      <c r="G148" s="484"/>
      <c r="H148" s="202" t="s">
        <v>308</v>
      </c>
      <c r="I148" s="191">
        <v>1</v>
      </c>
      <c r="J148" s="192">
        <v>1</v>
      </c>
      <c r="K148" s="191">
        <v>1</v>
      </c>
      <c r="L148" s="192">
        <v>1</v>
      </c>
      <c r="M148" s="184"/>
      <c r="N148" s="186"/>
      <c r="O148" s="436"/>
      <c r="P148" s="298">
        <v>0.2</v>
      </c>
      <c r="Q148" s="299"/>
      <c r="R148" s="210"/>
      <c r="S148" s="448"/>
    </row>
    <row r="149" spans="1:19" ht="53.25" customHeight="1" thickBot="1">
      <c r="B149" s="379"/>
      <c r="C149" s="185"/>
      <c r="D149" s="185"/>
      <c r="E149" s="185"/>
      <c r="F149" s="294"/>
      <c r="G149" s="484"/>
      <c r="H149" s="202" t="s">
        <v>68</v>
      </c>
      <c r="I149" s="191">
        <v>1</v>
      </c>
      <c r="J149" s="192">
        <v>1</v>
      </c>
      <c r="K149" s="191">
        <v>1</v>
      </c>
      <c r="L149" s="192">
        <v>1</v>
      </c>
      <c r="M149" s="184"/>
      <c r="N149" s="186"/>
      <c r="O149" s="436"/>
      <c r="P149" s="298">
        <v>0.2</v>
      </c>
      <c r="Q149" s="299"/>
      <c r="R149" s="467" t="s">
        <v>258</v>
      </c>
      <c r="S149" s="448"/>
    </row>
    <row r="150" spans="1:19" ht="43.5" customHeight="1" thickBot="1">
      <c r="B150" s="475"/>
      <c r="C150" s="229"/>
      <c r="D150" s="229"/>
      <c r="E150" s="229"/>
      <c r="F150" s="302"/>
      <c r="G150" s="486"/>
      <c r="H150" s="202" t="s">
        <v>310</v>
      </c>
      <c r="I150" s="191">
        <v>0</v>
      </c>
      <c r="J150" s="192">
        <v>1</v>
      </c>
      <c r="K150" s="191">
        <v>1</v>
      </c>
      <c r="L150" s="192">
        <v>1</v>
      </c>
      <c r="M150" s="184"/>
      <c r="N150" s="186"/>
      <c r="O150" s="436"/>
      <c r="P150" s="298">
        <v>0.05</v>
      </c>
      <c r="Q150" s="299"/>
      <c r="R150" s="490" t="s">
        <v>311</v>
      </c>
      <c r="S150" s="448"/>
    </row>
    <row r="151" spans="1:19" ht="43.5" hidden="1" customHeight="1" thickBot="1">
      <c r="B151" s="348" t="s">
        <v>605</v>
      </c>
      <c r="C151" s="170" t="s">
        <v>269</v>
      </c>
      <c r="D151" s="170" t="s">
        <v>289</v>
      </c>
      <c r="E151" s="211">
        <v>207000</v>
      </c>
      <c r="F151" s="473" t="s">
        <v>313</v>
      </c>
      <c r="G151" s="492" t="s">
        <v>287</v>
      </c>
      <c r="H151" s="263" t="s">
        <v>245</v>
      </c>
      <c r="I151" s="176">
        <v>0</v>
      </c>
      <c r="J151" s="177">
        <v>0</v>
      </c>
      <c r="K151" s="176">
        <v>0</v>
      </c>
      <c r="L151" s="177">
        <v>0</v>
      </c>
      <c r="M151" s="478">
        <v>46722</v>
      </c>
      <c r="N151" s="171" t="s">
        <v>314</v>
      </c>
      <c r="O151" s="461">
        <v>46935</v>
      </c>
      <c r="P151" s="292">
        <v>0.09</v>
      </c>
      <c r="Q151" s="293">
        <v>0.02</v>
      </c>
      <c r="R151" s="351" t="s">
        <v>606</v>
      </c>
      <c r="S151" s="448"/>
    </row>
    <row r="152" spans="1:19" ht="53.25" hidden="1" customHeight="1" thickBot="1">
      <c r="B152" s="379"/>
      <c r="C152" s="185"/>
      <c r="D152" s="185"/>
      <c r="E152" s="218"/>
      <c r="F152" s="446"/>
      <c r="G152" s="493"/>
      <c r="H152" s="202" t="s">
        <v>60</v>
      </c>
      <c r="I152" s="191">
        <v>0</v>
      </c>
      <c r="J152" s="192">
        <v>0</v>
      </c>
      <c r="K152" s="191">
        <v>0</v>
      </c>
      <c r="L152" s="192">
        <v>0</v>
      </c>
      <c r="M152" s="266"/>
      <c r="N152" s="186"/>
      <c r="O152" s="466"/>
      <c r="P152" s="298">
        <v>0.09</v>
      </c>
      <c r="Q152" s="299">
        <v>0.02</v>
      </c>
      <c r="R152" s="392" t="s">
        <v>315</v>
      </c>
      <c r="S152" s="448"/>
    </row>
    <row r="153" spans="1:19" ht="53.25" hidden="1" customHeight="1">
      <c r="A153" s="494"/>
      <c r="B153" s="379"/>
      <c r="C153" s="185"/>
      <c r="D153" s="185"/>
      <c r="E153" s="218"/>
      <c r="F153" s="446"/>
      <c r="G153" s="493"/>
      <c r="H153" s="202" t="s">
        <v>62</v>
      </c>
      <c r="I153" s="191">
        <v>0</v>
      </c>
      <c r="J153" s="192">
        <v>1</v>
      </c>
      <c r="K153" s="191">
        <v>0</v>
      </c>
      <c r="L153" s="192">
        <v>1</v>
      </c>
      <c r="M153" s="266"/>
      <c r="N153" s="186"/>
      <c r="O153" s="466"/>
      <c r="P153" s="298">
        <v>0.09</v>
      </c>
      <c r="Q153" s="299">
        <v>0.02</v>
      </c>
      <c r="R153" s="495" t="s">
        <v>316</v>
      </c>
      <c r="S153" s="448"/>
    </row>
    <row r="154" spans="1:19" ht="53.25" hidden="1" customHeight="1">
      <c r="B154" s="379"/>
      <c r="C154" s="185"/>
      <c r="D154" s="185"/>
      <c r="E154" s="218"/>
      <c r="F154" s="446"/>
      <c r="G154" s="493"/>
      <c r="H154" s="202" t="s">
        <v>296</v>
      </c>
      <c r="I154" s="191">
        <v>0</v>
      </c>
      <c r="J154" s="192">
        <v>1</v>
      </c>
      <c r="K154" s="191">
        <v>1</v>
      </c>
      <c r="L154" s="192">
        <v>1</v>
      </c>
      <c r="M154" s="266"/>
      <c r="N154" s="186"/>
      <c r="O154" s="466"/>
      <c r="P154" s="298">
        <v>0.09</v>
      </c>
      <c r="Q154" s="299">
        <v>0.02</v>
      </c>
      <c r="R154" s="495"/>
      <c r="S154" s="448"/>
    </row>
    <row r="155" spans="1:19" ht="55.5" hidden="1" customHeight="1">
      <c r="B155" s="475"/>
      <c r="C155" s="229"/>
      <c r="D155" s="229"/>
      <c r="E155" s="230"/>
      <c r="F155" s="453"/>
      <c r="G155" s="496"/>
      <c r="H155" s="233" t="s">
        <v>250</v>
      </c>
      <c r="I155" s="304">
        <v>0</v>
      </c>
      <c r="J155" s="305">
        <v>1</v>
      </c>
      <c r="K155" s="304">
        <v>1</v>
      </c>
      <c r="L155" s="305">
        <v>1</v>
      </c>
      <c r="M155" s="497"/>
      <c r="N155" s="237"/>
      <c r="O155" s="472"/>
      <c r="P155" s="308">
        <v>0.09</v>
      </c>
      <c r="Q155" s="309">
        <v>0.02</v>
      </c>
      <c r="R155" s="207" t="s">
        <v>258</v>
      </c>
      <c r="S155" s="448"/>
    </row>
    <row r="156" spans="1:19" ht="43.5" customHeight="1" thickBot="1">
      <c r="B156" s="348" t="s">
        <v>607</v>
      </c>
      <c r="C156" s="170" t="s">
        <v>243</v>
      </c>
      <c r="D156" s="170" t="s">
        <v>289</v>
      </c>
      <c r="E156" s="211">
        <v>208000</v>
      </c>
      <c r="F156" s="473" t="s">
        <v>572</v>
      </c>
      <c r="G156" s="431" t="s">
        <v>287</v>
      </c>
      <c r="H156" s="263" t="s">
        <v>60</v>
      </c>
      <c r="I156" s="243">
        <v>0</v>
      </c>
      <c r="J156" s="177">
        <v>1</v>
      </c>
      <c r="K156" s="176">
        <v>0</v>
      </c>
      <c r="L156" s="177">
        <v>1</v>
      </c>
      <c r="M156" s="478" t="s">
        <v>67</v>
      </c>
      <c r="N156" s="171" t="s">
        <v>608</v>
      </c>
      <c r="O156" s="432">
        <v>46722</v>
      </c>
      <c r="P156" s="292">
        <v>0.2</v>
      </c>
      <c r="Q156" s="293"/>
      <c r="R156" s="498" t="s">
        <v>288</v>
      </c>
      <c r="S156" s="448"/>
    </row>
    <row r="157" spans="1:19" ht="76.5" customHeight="1" thickBot="1">
      <c r="A157" t="s">
        <v>297</v>
      </c>
      <c r="B157" s="379"/>
      <c r="C157" s="185"/>
      <c r="D157" s="185"/>
      <c r="E157" s="218"/>
      <c r="F157" s="446"/>
      <c r="G157" s="447"/>
      <c r="H157" s="202" t="s">
        <v>296</v>
      </c>
      <c r="I157" s="249">
        <v>1</v>
      </c>
      <c r="J157" s="192">
        <v>1</v>
      </c>
      <c r="K157" s="191">
        <v>1</v>
      </c>
      <c r="L157" s="192">
        <v>1</v>
      </c>
      <c r="M157" s="276"/>
      <c r="N157" s="186"/>
      <c r="O157" s="436"/>
      <c r="P157" s="292">
        <v>0.2</v>
      </c>
      <c r="Q157" s="299"/>
      <c r="R157" s="392" t="s">
        <v>609</v>
      </c>
      <c r="S157" s="448"/>
    </row>
    <row r="158" spans="1:19" ht="53.25" customHeight="1" thickBot="1">
      <c r="B158" s="475"/>
      <c r="C158" s="229"/>
      <c r="D158" s="229"/>
      <c r="E158" s="230"/>
      <c r="F158" s="453"/>
      <c r="G158" s="499"/>
      <c r="H158" s="233" t="s">
        <v>68</v>
      </c>
      <c r="I158" s="500">
        <v>1</v>
      </c>
      <c r="J158" s="305">
        <v>1</v>
      </c>
      <c r="K158" s="304">
        <v>1</v>
      </c>
      <c r="L158" s="305">
        <v>1</v>
      </c>
      <c r="M158" s="386"/>
      <c r="N158" s="237"/>
      <c r="O158" s="443"/>
      <c r="P158" s="292">
        <v>0.2</v>
      </c>
      <c r="Q158" s="309"/>
      <c r="R158" s="207" t="s">
        <v>258</v>
      </c>
      <c r="S158" s="448"/>
    </row>
    <row r="159" spans="1:19" ht="43.5" customHeight="1">
      <c r="B159" s="348" t="s">
        <v>610</v>
      </c>
      <c r="C159" s="170" t="s">
        <v>243</v>
      </c>
      <c r="D159" s="170" t="s">
        <v>289</v>
      </c>
      <c r="E159" s="211">
        <v>214000</v>
      </c>
      <c r="F159" s="473" t="s">
        <v>290</v>
      </c>
      <c r="G159" s="431" t="s">
        <v>287</v>
      </c>
      <c r="H159" s="263" t="s">
        <v>60</v>
      </c>
      <c r="I159" s="243">
        <v>1</v>
      </c>
      <c r="J159" s="177">
        <v>1</v>
      </c>
      <c r="K159" s="176">
        <v>0</v>
      </c>
      <c r="L159" s="177">
        <v>1</v>
      </c>
      <c r="M159" s="478">
        <v>46905</v>
      </c>
      <c r="N159" s="398" t="s">
        <v>611</v>
      </c>
      <c r="O159" s="432">
        <v>46905</v>
      </c>
      <c r="P159" s="483">
        <v>0.1</v>
      </c>
      <c r="Q159" s="293"/>
      <c r="R159" s="351" t="s">
        <v>595</v>
      </c>
      <c r="S159" s="448"/>
    </row>
    <row r="160" spans="1:19" ht="54.75" customHeight="1">
      <c r="A160" t="s">
        <v>297</v>
      </c>
      <c r="B160" s="379"/>
      <c r="C160" s="185"/>
      <c r="D160" s="185"/>
      <c r="E160" s="218"/>
      <c r="F160" s="446"/>
      <c r="G160" s="447"/>
      <c r="H160" s="202" t="s">
        <v>62</v>
      </c>
      <c r="I160" s="249">
        <v>1</v>
      </c>
      <c r="J160" s="192">
        <v>1</v>
      </c>
      <c r="K160" s="191">
        <v>0</v>
      </c>
      <c r="L160" s="192">
        <v>1</v>
      </c>
      <c r="M160" s="276"/>
      <c r="N160" s="186"/>
      <c r="O160" s="436"/>
      <c r="P160" s="501">
        <v>0.12</v>
      </c>
      <c r="Q160" s="299"/>
      <c r="R160" s="392" t="s">
        <v>612</v>
      </c>
      <c r="S160" s="448"/>
    </row>
    <row r="161" spans="1:19" ht="31.5" customHeight="1">
      <c r="A161"/>
      <c r="B161" s="379"/>
      <c r="C161" s="185"/>
      <c r="D161" s="185"/>
      <c r="E161" s="218"/>
      <c r="F161" s="446"/>
      <c r="G161" s="447"/>
      <c r="H161" s="450" t="s">
        <v>317</v>
      </c>
      <c r="I161" s="502">
        <v>1</v>
      </c>
      <c r="J161" s="321">
        <v>1</v>
      </c>
      <c r="K161" s="320">
        <v>1</v>
      </c>
      <c r="L161" s="321">
        <v>1</v>
      </c>
      <c r="M161" s="276"/>
      <c r="N161" s="186"/>
      <c r="O161" s="436"/>
      <c r="P161" s="298">
        <v>0.15</v>
      </c>
      <c r="Q161" s="299"/>
      <c r="R161" s="467" t="s">
        <v>613</v>
      </c>
      <c r="S161" s="448"/>
    </row>
    <row r="162" spans="1:19" ht="35.25" customHeight="1">
      <c r="B162" s="379"/>
      <c r="C162" s="185"/>
      <c r="D162" s="185"/>
      <c r="E162" s="218"/>
      <c r="F162" s="446"/>
      <c r="G162" s="447"/>
      <c r="H162" s="284" t="s">
        <v>318</v>
      </c>
      <c r="I162" s="503">
        <v>1</v>
      </c>
      <c r="J162" s="265">
        <v>1</v>
      </c>
      <c r="K162" s="264">
        <v>1</v>
      </c>
      <c r="L162" s="265">
        <v>1</v>
      </c>
      <c r="M162" s="276"/>
      <c r="N162" s="186"/>
      <c r="O162" s="436"/>
      <c r="P162" s="298">
        <v>0.15</v>
      </c>
      <c r="Q162" s="299"/>
      <c r="R162" s="210"/>
      <c r="S162" s="448"/>
    </row>
    <row r="163" spans="1:19" ht="43.5" customHeight="1" thickBot="1">
      <c r="B163" s="475"/>
      <c r="C163" s="229"/>
      <c r="D163" s="229"/>
      <c r="E163" s="230"/>
      <c r="F163" s="453"/>
      <c r="G163" s="499"/>
      <c r="H163" s="233" t="s">
        <v>68</v>
      </c>
      <c r="I163" s="500">
        <v>1</v>
      </c>
      <c r="J163" s="305">
        <v>1</v>
      </c>
      <c r="K163" s="304">
        <v>1</v>
      </c>
      <c r="L163" s="305">
        <v>1</v>
      </c>
      <c r="M163" s="386"/>
      <c r="N163" s="237"/>
      <c r="O163" s="443"/>
      <c r="P163" s="308">
        <v>0.15</v>
      </c>
      <c r="Q163" s="309"/>
      <c r="R163" s="310"/>
      <c r="S163" s="448"/>
    </row>
    <row r="164" spans="1:19" ht="43.5" customHeight="1">
      <c r="B164" s="348" t="s">
        <v>614</v>
      </c>
      <c r="C164" s="170" t="s">
        <v>253</v>
      </c>
      <c r="D164" s="170" t="s">
        <v>289</v>
      </c>
      <c r="E164" s="211">
        <v>211000</v>
      </c>
      <c r="F164" s="473" t="s">
        <v>290</v>
      </c>
      <c r="G164" s="431" t="s">
        <v>287</v>
      </c>
      <c r="H164" s="263" t="s">
        <v>245</v>
      </c>
      <c r="I164" s="243">
        <v>0</v>
      </c>
      <c r="J164" s="177">
        <v>0</v>
      </c>
      <c r="K164" s="176">
        <v>0</v>
      </c>
      <c r="L164" s="177">
        <v>0</v>
      </c>
      <c r="M164" s="478" t="s">
        <v>32</v>
      </c>
      <c r="N164" s="398" t="s">
        <v>615</v>
      </c>
      <c r="O164" s="432">
        <v>47178</v>
      </c>
      <c r="P164" s="292">
        <v>0.15</v>
      </c>
      <c r="Q164" s="293"/>
      <c r="R164" s="351" t="s">
        <v>616</v>
      </c>
      <c r="S164" s="448"/>
    </row>
    <row r="165" spans="1:19" ht="43.5" customHeight="1">
      <c r="B165" s="379"/>
      <c r="C165" s="185"/>
      <c r="D165" s="185"/>
      <c r="E165" s="218"/>
      <c r="F165" s="446"/>
      <c r="G165" s="447"/>
      <c r="H165" s="202" t="s">
        <v>60</v>
      </c>
      <c r="I165" s="249">
        <v>0</v>
      </c>
      <c r="J165" s="192">
        <v>0</v>
      </c>
      <c r="K165" s="191">
        <v>0</v>
      </c>
      <c r="L165" s="192">
        <v>0</v>
      </c>
      <c r="M165" s="266"/>
      <c r="N165" s="504"/>
      <c r="O165" s="436"/>
      <c r="P165" s="298">
        <v>0.15</v>
      </c>
      <c r="Q165" s="299"/>
      <c r="R165" s="351"/>
      <c r="S165" s="448"/>
    </row>
    <row r="166" spans="1:19" ht="54.75" customHeight="1">
      <c r="A166" t="s">
        <v>297</v>
      </c>
      <c r="B166" s="379"/>
      <c r="C166" s="185"/>
      <c r="D166" s="185"/>
      <c r="E166" s="218"/>
      <c r="F166" s="446"/>
      <c r="G166" s="447"/>
      <c r="H166" s="202" t="s">
        <v>62</v>
      </c>
      <c r="I166" s="249">
        <v>0</v>
      </c>
      <c r="J166" s="192">
        <v>0</v>
      </c>
      <c r="K166" s="191">
        <v>0</v>
      </c>
      <c r="L166" s="192">
        <v>0</v>
      </c>
      <c r="M166" s="276"/>
      <c r="N166" s="186"/>
      <c r="O166" s="436"/>
      <c r="P166" s="298">
        <v>0.15</v>
      </c>
      <c r="Q166" s="299"/>
      <c r="R166" s="392" t="s">
        <v>617</v>
      </c>
      <c r="S166" s="448"/>
    </row>
    <row r="167" spans="1:19" ht="31.5" customHeight="1">
      <c r="A167"/>
      <c r="B167" s="379"/>
      <c r="C167" s="185"/>
      <c r="D167" s="185"/>
      <c r="E167" s="218"/>
      <c r="F167" s="446"/>
      <c r="G167" s="447"/>
      <c r="H167" s="450" t="s">
        <v>317</v>
      </c>
      <c r="I167" s="502">
        <v>0</v>
      </c>
      <c r="J167" s="321">
        <v>1</v>
      </c>
      <c r="K167" s="320">
        <v>0</v>
      </c>
      <c r="L167" s="321">
        <v>0</v>
      </c>
      <c r="M167" s="276"/>
      <c r="N167" s="186"/>
      <c r="O167" s="436"/>
      <c r="P167" s="298">
        <v>0.15</v>
      </c>
      <c r="Q167" s="299"/>
      <c r="R167" s="210"/>
      <c r="S167" s="448"/>
    </row>
    <row r="168" spans="1:19" ht="35.25" customHeight="1">
      <c r="B168" s="379"/>
      <c r="C168" s="185"/>
      <c r="D168" s="185"/>
      <c r="E168" s="218"/>
      <c r="F168" s="446"/>
      <c r="G168" s="447"/>
      <c r="H168" s="284" t="s">
        <v>319</v>
      </c>
      <c r="I168" s="503">
        <v>1</v>
      </c>
      <c r="J168" s="265">
        <v>1</v>
      </c>
      <c r="K168" s="264">
        <v>1</v>
      </c>
      <c r="L168" s="265">
        <v>1</v>
      </c>
      <c r="M168" s="276"/>
      <c r="N168" s="186"/>
      <c r="O168" s="436"/>
      <c r="P168" s="298">
        <v>0.15</v>
      </c>
      <c r="Q168" s="299"/>
      <c r="R168" s="210"/>
      <c r="S168" s="448"/>
    </row>
    <row r="169" spans="1:19" ht="35.25" customHeight="1">
      <c r="B169" s="379"/>
      <c r="C169" s="185"/>
      <c r="D169" s="185"/>
      <c r="E169" s="218"/>
      <c r="F169" s="446"/>
      <c r="G169" s="447"/>
      <c r="H169" s="284" t="s">
        <v>65</v>
      </c>
      <c r="I169" s="503">
        <v>1</v>
      </c>
      <c r="J169" s="265">
        <v>1</v>
      </c>
      <c r="K169" s="264">
        <v>1</v>
      </c>
      <c r="L169" s="265">
        <v>1</v>
      </c>
      <c r="M169" s="276"/>
      <c r="N169" s="186"/>
      <c r="O169" s="436"/>
      <c r="P169" s="298">
        <v>0.15</v>
      </c>
      <c r="Q169" s="299"/>
      <c r="R169" s="210"/>
      <c r="S169" s="448"/>
    </row>
    <row r="170" spans="1:19" ht="43.5" customHeight="1" thickBot="1">
      <c r="B170" s="475"/>
      <c r="C170" s="229"/>
      <c r="D170" s="229"/>
      <c r="E170" s="230"/>
      <c r="F170" s="453"/>
      <c r="G170" s="499"/>
      <c r="H170" s="233" t="s">
        <v>294</v>
      </c>
      <c r="I170" s="500"/>
      <c r="J170" s="305"/>
      <c r="K170" s="304"/>
      <c r="L170" s="305"/>
      <c r="M170" s="386"/>
      <c r="N170" s="237"/>
      <c r="O170" s="443"/>
      <c r="P170" s="308">
        <v>0.1</v>
      </c>
      <c r="Q170" s="309"/>
      <c r="R170" s="310"/>
      <c r="S170" s="448"/>
    </row>
    <row r="171" spans="1:19" ht="43.5" customHeight="1">
      <c r="B171" s="348" t="s">
        <v>618</v>
      </c>
      <c r="C171" s="170" t="s">
        <v>243</v>
      </c>
      <c r="D171" s="170" t="s">
        <v>289</v>
      </c>
      <c r="E171" s="211">
        <v>206000</v>
      </c>
      <c r="F171" s="473" t="s">
        <v>572</v>
      </c>
      <c r="G171" s="431" t="s">
        <v>287</v>
      </c>
      <c r="H171" s="263" t="s">
        <v>245</v>
      </c>
      <c r="I171" s="243">
        <v>0</v>
      </c>
      <c r="J171" s="177">
        <v>0</v>
      </c>
      <c r="K171" s="176">
        <v>0</v>
      </c>
      <c r="L171" s="177">
        <v>0</v>
      </c>
      <c r="M171" s="478" t="s">
        <v>619</v>
      </c>
      <c r="N171" s="171" t="s">
        <v>620</v>
      </c>
      <c r="O171" s="432">
        <v>47178</v>
      </c>
      <c r="P171" s="292">
        <v>0.2</v>
      </c>
      <c r="Q171" s="293"/>
      <c r="R171" s="498" t="s">
        <v>288</v>
      </c>
      <c r="S171" s="505" t="s">
        <v>320</v>
      </c>
    </row>
    <row r="172" spans="1:19" ht="43.5" customHeight="1">
      <c r="A172"/>
      <c r="B172" s="379"/>
      <c r="C172" s="185"/>
      <c r="D172" s="185"/>
      <c r="E172" s="218"/>
      <c r="F172" s="446"/>
      <c r="G172" s="447"/>
      <c r="H172" s="202" t="s">
        <v>60</v>
      </c>
      <c r="I172" s="249">
        <v>0</v>
      </c>
      <c r="J172" s="192">
        <v>0</v>
      </c>
      <c r="K172" s="191">
        <v>0</v>
      </c>
      <c r="L172" s="192">
        <v>0</v>
      </c>
      <c r="M172" s="266"/>
      <c r="N172" s="186"/>
      <c r="O172" s="436"/>
      <c r="P172" s="298">
        <v>0.2</v>
      </c>
      <c r="Q172" s="299"/>
      <c r="R172" s="354"/>
      <c r="S172" s="506"/>
    </row>
    <row r="173" spans="1:19" ht="54.75" customHeight="1">
      <c r="A173" t="s">
        <v>297</v>
      </c>
      <c r="B173" s="379"/>
      <c r="C173" s="185"/>
      <c r="D173" s="185"/>
      <c r="E173" s="218"/>
      <c r="F173" s="446"/>
      <c r="G173" s="447"/>
      <c r="H173" s="202" t="s">
        <v>62</v>
      </c>
      <c r="I173" s="249">
        <v>0</v>
      </c>
      <c r="J173" s="192">
        <v>0</v>
      </c>
      <c r="K173" s="191">
        <v>0</v>
      </c>
      <c r="L173" s="192">
        <v>0</v>
      </c>
      <c r="M173" s="276"/>
      <c r="N173" s="186"/>
      <c r="O173" s="436"/>
      <c r="P173" s="298">
        <v>0.2</v>
      </c>
      <c r="Q173" s="299"/>
      <c r="R173" s="392" t="s">
        <v>621</v>
      </c>
      <c r="S173" s="506"/>
    </row>
    <row r="174" spans="1:19" ht="43.5" customHeight="1" thickBot="1">
      <c r="B174" s="475"/>
      <c r="C174" s="229"/>
      <c r="D174" s="229"/>
      <c r="E174" s="230"/>
      <c r="F174" s="453"/>
      <c r="G174" s="499"/>
      <c r="H174" s="233" t="s">
        <v>65</v>
      </c>
      <c r="I174" s="500">
        <v>0</v>
      </c>
      <c r="J174" s="305">
        <v>1</v>
      </c>
      <c r="K174" s="304">
        <v>0</v>
      </c>
      <c r="L174" s="305">
        <v>0</v>
      </c>
      <c r="M174" s="386"/>
      <c r="N174" s="237"/>
      <c r="O174" s="443"/>
      <c r="P174" s="308">
        <v>0.2</v>
      </c>
      <c r="Q174" s="309"/>
      <c r="R174" s="310"/>
      <c r="S174" s="507"/>
    </row>
    <row r="175" spans="1:19" ht="32.25" customHeight="1" thickBot="1">
      <c r="B175" s="508" t="s">
        <v>321</v>
      </c>
      <c r="C175" s="509"/>
      <c r="D175" s="509"/>
      <c r="E175" s="510"/>
      <c r="F175" s="511"/>
      <c r="G175" s="509"/>
      <c r="H175" s="512"/>
      <c r="I175" s="513"/>
      <c r="J175" s="513"/>
      <c r="K175" s="513"/>
      <c r="L175" s="513"/>
      <c r="M175" s="509"/>
      <c r="N175" s="514"/>
      <c r="O175" s="515"/>
      <c r="P175" s="516"/>
      <c r="Q175" s="517"/>
      <c r="R175" s="518"/>
      <c r="S175" s="151"/>
    </row>
    <row r="176" spans="1:19" ht="32.25" customHeight="1" thickBot="1">
      <c r="B176" s="348" t="s">
        <v>622</v>
      </c>
      <c r="C176" s="171" t="s">
        <v>253</v>
      </c>
      <c r="D176" s="170" t="s">
        <v>27</v>
      </c>
      <c r="E176" s="172">
        <v>235000</v>
      </c>
      <c r="F176" s="173" t="s">
        <v>244</v>
      </c>
      <c r="G176" s="519" t="s">
        <v>287</v>
      </c>
      <c r="H176" s="520" t="s">
        <v>322</v>
      </c>
      <c r="I176" s="521"/>
      <c r="J176" s="522"/>
      <c r="K176" s="521"/>
      <c r="L176" s="522"/>
      <c r="M176" s="523" t="s">
        <v>27</v>
      </c>
      <c r="N176" s="456" t="s">
        <v>623</v>
      </c>
      <c r="O176" s="524"/>
      <c r="P176" s="292">
        <v>0.15</v>
      </c>
      <c r="Q176" s="293"/>
      <c r="R176" s="498" t="s">
        <v>624</v>
      </c>
      <c r="S176" s="332" t="s">
        <v>1</v>
      </c>
    </row>
    <row r="177" spans="1:19" ht="32.25" customHeight="1" thickBot="1">
      <c r="B177" s="184"/>
      <c r="C177" s="186"/>
      <c r="D177" s="185"/>
      <c r="E177" s="187"/>
      <c r="F177" s="188"/>
      <c r="G177" s="525"/>
      <c r="H177" s="342" t="s">
        <v>323</v>
      </c>
      <c r="I177" s="526"/>
      <c r="J177" s="527"/>
      <c r="K177" s="526"/>
      <c r="L177" s="527"/>
      <c r="M177" s="528"/>
      <c r="N177" s="463"/>
      <c r="O177" s="529"/>
      <c r="P177" s="292">
        <v>0.15</v>
      </c>
      <c r="Q177" s="299"/>
      <c r="R177" s="530"/>
      <c r="S177" s="337"/>
    </row>
    <row r="178" spans="1:19" ht="32.25" customHeight="1" thickBot="1">
      <c r="B178" s="184"/>
      <c r="C178" s="186"/>
      <c r="D178" s="185"/>
      <c r="E178" s="187"/>
      <c r="F178" s="294"/>
      <c r="G178" s="531"/>
      <c r="H178" s="342" t="s">
        <v>324</v>
      </c>
      <c r="I178" s="526"/>
      <c r="J178" s="527"/>
      <c r="K178" s="526"/>
      <c r="L178" s="527"/>
      <c r="M178" s="528"/>
      <c r="N178" s="463"/>
      <c r="O178" s="529"/>
      <c r="P178" s="292">
        <v>0.15</v>
      </c>
      <c r="Q178" s="299"/>
      <c r="R178" s="532" t="s">
        <v>325</v>
      </c>
      <c r="S178" s="337"/>
    </row>
    <row r="179" spans="1:19" ht="32.25" customHeight="1" thickBot="1">
      <c r="A179"/>
      <c r="B179" s="184"/>
      <c r="C179" s="186"/>
      <c r="D179" s="185"/>
      <c r="E179" s="187"/>
      <c r="F179" s="294"/>
      <c r="G179" s="531"/>
      <c r="H179" s="342" t="s">
        <v>326</v>
      </c>
      <c r="I179" s="526"/>
      <c r="J179" s="527"/>
      <c r="K179" s="526"/>
      <c r="L179" s="527"/>
      <c r="M179" s="528"/>
      <c r="N179" s="463"/>
      <c r="O179" s="533"/>
      <c r="P179" s="292">
        <v>0.15</v>
      </c>
      <c r="Q179" s="299"/>
      <c r="R179" s="226" t="s">
        <v>625</v>
      </c>
      <c r="S179" s="337"/>
    </row>
    <row r="180" spans="1:19" ht="54" customHeight="1" thickBot="1">
      <c r="A180" t="s">
        <v>297</v>
      </c>
      <c r="B180" s="184"/>
      <c r="C180" s="186"/>
      <c r="D180" s="185"/>
      <c r="E180" s="187"/>
      <c r="F180" s="294"/>
      <c r="G180" s="531"/>
      <c r="H180" s="342" t="s">
        <v>327</v>
      </c>
      <c r="I180" s="526"/>
      <c r="J180" s="527"/>
      <c r="K180" s="526"/>
      <c r="L180" s="527"/>
      <c r="M180" s="528"/>
      <c r="N180" s="463"/>
      <c r="O180" s="533"/>
      <c r="P180" s="292">
        <v>0.15</v>
      </c>
      <c r="Q180" s="299"/>
      <c r="R180" s="226"/>
      <c r="S180" s="337"/>
    </row>
    <row r="181" spans="1:19" ht="32.25" customHeight="1" thickBot="1">
      <c r="B181" s="184"/>
      <c r="C181" s="186"/>
      <c r="D181" s="185"/>
      <c r="E181" s="187"/>
      <c r="F181" s="294"/>
      <c r="G181" s="531"/>
      <c r="H181" s="342" t="s">
        <v>328</v>
      </c>
      <c r="I181" s="526"/>
      <c r="J181" s="527"/>
      <c r="K181" s="526"/>
      <c r="L181" s="527"/>
      <c r="M181" s="528"/>
      <c r="N181" s="463"/>
      <c r="O181" s="529"/>
      <c r="P181" s="292">
        <v>0.15</v>
      </c>
      <c r="Q181" s="299"/>
      <c r="R181" s="534" t="s">
        <v>626</v>
      </c>
      <c r="S181" s="337"/>
    </row>
    <row r="182" spans="1:19" ht="32.25" customHeight="1" thickBot="1">
      <c r="B182" s="184"/>
      <c r="C182" s="186"/>
      <c r="D182" s="185"/>
      <c r="E182" s="187"/>
      <c r="F182" s="294"/>
      <c r="G182" s="531"/>
      <c r="H182" s="535" t="s">
        <v>329</v>
      </c>
      <c r="I182" s="526"/>
      <c r="J182" s="527"/>
      <c r="K182" s="526"/>
      <c r="L182" s="527"/>
      <c r="M182" s="528"/>
      <c r="N182" s="463"/>
      <c r="O182" s="529"/>
      <c r="P182" s="292">
        <v>0.15</v>
      </c>
      <c r="Q182" s="299"/>
      <c r="R182" s="536"/>
      <c r="S182" s="337"/>
    </row>
    <row r="183" spans="1:19" ht="32.25" customHeight="1" thickBot="1">
      <c r="B183" s="227"/>
      <c r="C183" s="237"/>
      <c r="D183" s="229"/>
      <c r="E183" s="301"/>
      <c r="F183" s="302"/>
      <c r="G183" s="537"/>
      <c r="H183" s="538" t="s">
        <v>330</v>
      </c>
      <c r="I183" s="539"/>
      <c r="J183" s="540"/>
      <c r="K183" s="539"/>
      <c r="L183" s="540"/>
      <c r="M183" s="541"/>
      <c r="N183" s="468"/>
      <c r="O183" s="542"/>
      <c r="P183" s="292">
        <v>0.15</v>
      </c>
      <c r="Q183" s="309"/>
      <c r="R183" s="543"/>
      <c r="S183" s="347"/>
    </row>
    <row r="184" spans="1:19" ht="32.25" customHeight="1" thickBot="1">
      <c r="B184" s="348" t="s">
        <v>627</v>
      </c>
      <c r="C184" s="171" t="s">
        <v>253</v>
      </c>
      <c r="D184" s="170" t="s">
        <v>289</v>
      </c>
      <c r="E184" s="172">
        <v>235000</v>
      </c>
      <c r="F184" s="173">
        <v>0.13</v>
      </c>
      <c r="G184" s="519">
        <v>0.02</v>
      </c>
      <c r="H184" s="520" t="s">
        <v>322</v>
      </c>
      <c r="I184" s="521"/>
      <c r="J184" s="522"/>
      <c r="K184" s="521"/>
      <c r="L184" s="522"/>
      <c r="M184" s="523" t="s">
        <v>628</v>
      </c>
      <c r="N184" s="456" t="s">
        <v>629</v>
      </c>
      <c r="O184" s="544"/>
      <c r="P184" s="292">
        <v>0.1</v>
      </c>
      <c r="Q184" s="293"/>
      <c r="R184" s="545" t="s">
        <v>630</v>
      </c>
    </row>
    <row r="185" spans="1:19" ht="32.25" customHeight="1" thickBot="1">
      <c r="B185" s="379"/>
      <c r="C185" s="186"/>
      <c r="D185" s="185"/>
      <c r="E185" s="187"/>
      <c r="F185" s="188"/>
      <c r="G185" s="525"/>
      <c r="H185" s="342" t="s">
        <v>323</v>
      </c>
      <c r="I185" s="526"/>
      <c r="J185" s="527"/>
      <c r="K185" s="526"/>
      <c r="L185" s="527"/>
      <c r="M185" s="528"/>
      <c r="N185" s="463"/>
      <c r="O185" s="546"/>
      <c r="P185" s="292">
        <v>0.1</v>
      </c>
      <c r="Q185" s="299"/>
      <c r="R185" s="547"/>
    </row>
    <row r="186" spans="1:19" ht="32.25" customHeight="1" thickBot="1">
      <c r="A186"/>
      <c r="B186" s="379"/>
      <c r="C186" s="186"/>
      <c r="D186" s="185"/>
      <c r="E186" s="187"/>
      <c r="F186" s="294"/>
      <c r="G186" s="531"/>
      <c r="H186" s="342" t="s">
        <v>324</v>
      </c>
      <c r="I186" s="526"/>
      <c r="J186" s="527"/>
      <c r="K186" s="526"/>
      <c r="L186" s="527"/>
      <c r="M186" s="528"/>
      <c r="N186" s="463"/>
      <c r="O186" s="546"/>
      <c r="P186" s="292">
        <v>0.1</v>
      </c>
      <c r="Q186" s="299"/>
      <c r="R186" s="547"/>
    </row>
    <row r="187" spans="1:19" ht="32.25" customHeight="1" thickBot="1">
      <c r="A187" t="s">
        <v>297</v>
      </c>
      <c r="B187" s="379"/>
      <c r="C187" s="186"/>
      <c r="D187" s="185"/>
      <c r="E187" s="187"/>
      <c r="F187" s="294"/>
      <c r="G187" s="531"/>
      <c r="H187" s="342" t="s">
        <v>326</v>
      </c>
      <c r="I187" s="526"/>
      <c r="J187" s="527"/>
      <c r="K187" s="526"/>
      <c r="L187" s="527"/>
      <c r="M187" s="528"/>
      <c r="N187" s="463"/>
      <c r="O187" s="548">
        <v>46813</v>
      </c>
      <c r="P187" s="292">
        <v>0.1</v>
      </c>
      <c r="Q187" s="299"/>
      <c r="R187" s="547"/>
    </row>
    <row r="188" spans="1:19" ht="32.25" customHeight="1" thickBot="1">
      <c r="B188" s="379"/>
      <c r="C188" s="186"/>
      <c r="D188" s="185"/>
      <c r="E188" s="187"/>
      <c r="F188" s="294"/>
      <c r="G188" s="531"/>
      <c r="H188" s="342" t="s">
        <v>327</v>
      </c>
      <c r="I188" s="526"/>
      <c r="J188" s="527"/>
      <c r="K188" s="526"/>
      <c r="L188" s="527"/>
      <c r="M188" s="528"/>
      <c r="N188" s="463"/>
      <c r="O188" s="548"/>
      <c r="P188" s="292">
        <v>0.1</v>
      </c>
      <c r="Q188" s="299"/>
      <c r="R188" s="384"/>
    </row>
    <row r="189" spans="1:19" ht="32.25" customHeight="1" thickBot="1">
      <c r="B189" s="379"/>
      <c r="C189" s="186"/>
      <c r="D189" s="185"/>
      <c r="E189" s="187"/>
      <c r="F189" s="294"/>
      <c r="G189" s="531"/>
      <c r="H189" s="342" t="s">
        <v>328</v>
      </c>
      <c r="I189" s="526"/>
      <c r="J189" s="527"/>
      <c r="K189" s="526"/>
      <c r="L189" s="527"/>
      <c r="M189" s="528"/>
      <c r="N189" s="463"/>
      <c r="O189" s="546"/>
      <c r="P189" s="292">
        <v>0.1</v>
      </c>
      <c r="Q189" s="299"/>
      <c r="R189" s="549" t="s">
        <v>631</v>
      </c>
    </row>
    <row r="190" spans="1:19" ht="32.25" customHeight="1" thickBot="1">
      <c r="B190" s="379"/>
      <c r="C190" s="186"/>
      <c r="D190" s="185"/>
      <c r="E190" s="187"/>
      <c r="F190" s="294"/>
      <c r="G190" s="531"/>
      <c r="H190" s="535" t="s">
        <v>329</v>
      </c>
      <c r="I190" s="526"/>
      <c r="J190" s="527"/>
      <c r="K190" s="526"/>
      <c r="L190" s="527"/>
      <c r="M190" s="528"/>
      <c r="N190" s="463"/>
      <c r="O190" s="546"/>
      <c r="P190" s="292">
        <v>0.1</v>
      </c>
      <c r="Q190" s="299"/>
      <c r="R190" s="549"/>
    </row>
    <row r="191" spans="1:19" ht="32.25" customHeight="1" thickBot="1">
      <c r="B191" s="475"/>
      <c r="C191" s="237"/>
      <c r="D191" s="229"/>
      <c r="E191" s="301"/>
      <c r="F191" s="302"/>
      <c r="G191" s="537"/>
      <c r="H191" s="538" t="s">
        <v>330</v>
      </c>
      <c r="I191" s="539"/>
      <c r="J191" s="540"/>
      <c r="K191" s="539"/>
      <c r="L191" s="540"/>
      <c r="M191" s="541"/>
      <c r="N191" s="468"/>
      <c r="O191" s="550"/>
      <c r="P191" s="292">
        <v>0.1</v>
      </c>
      <c r="Q191" s="309"/>
      <c r="R191" s="551"/>
    </row>
    <row r="192" spans="1:19" ht="39" customHeight="1" thickBot="1">
      <c r="B192" s="169" t="s">
        <v>632</v>
      </c>
      <c r="C192" s="171" t="s">
        <v>253</v>
      </c>
      <c r="D192" s="170" t="s">
        <v>633</v>
      </c>
      <c r="E192" s="172">
        <v>202000</v>
      </c>
      <c r="F192" s="358" t="s">
        <v>291</v>
      </c>
      <c r="G192" s="552">
        <v>0.02</v>
      </c>
      <c r="H192" s="263" t="s">
        <v>634</v>
      </c>
      <c r="I192" s="526"/>
      <c r="J192" s="527"/>
      <c r="K192" s="526"/>
      <c r="L192" s="527"/>
      <c r="M192" s="553" t="s">
        <v>635</v>
      </c>
      <c r="N192" s="456" t="s">
        <v>636</v>
      </c>
      <c r="O192" s="554">
        <v>46113</v>
      </c>
      <c r="P192" s="292">
        <v>0.1</v>
      </c>
      <c r="Q192" s="299"/>
      <c r="R192" s="555" t="s">
        <v>637</v>
      </c>
    </row>
    <row r="193" spans="1:18" ht="32.25" customHeight="1">
      <c r="A193" t="s">
        <v>297</v>
      </c>
      <c r="B193" s="184"/>
      <c r="C193" s="186"/>
      <c r="D193" s="185"/>
      <c r="E193" s="187"/>
      <c r="F193" s="294"/>
      <c r="G193" s="556"/>
      <c r="H193" s="284" t="s">
        <v>638</v>
      </c>
      <c r="I193" s="526"/>
      <c r="J193" s="527"/>
      <c r="K193" s="526"/>
      <c r="L193" s="527"/>
      <c r="M193" s="557"/>
      <c r="N193" s="463"/>
      <c r="O193" s="558"/>
      <c r="P193" s="292">
        <v>0.1</v>
      </c>
      <c r="Q193" s="299"/>
      <c r="R193" s="559"/>
    </row>
    <row r="194" spans="1:18" ht="32.25" customHeight="1">
      <c r="A194"/>
      <c r="B194" s="184"/>
      <c r="C194" s="186"/>
      <c r="D194" s="185"/>
      <c r="E194" s="187"/>
      <c r="F194" s="294"/>
      <c r="G194" s="556"/>
      <c r="H194" s="535"/>
      <c r="I194" s="526"/>
      <c r="J194" s="527"/>
      <c r="K194" s="526"/>
      <c r="L194" s="527"/>
      <c r="M194" s="557"/>
      <c r="N194" s="463"/>
      <c r="O194" s="558"/>
      <c r="P194" s="298"/>
      <c r="Q194" s="299"/>
      <c r="R194" s="560"/>
    </row>
    <row r="195" spans="1:18" ht="32.25" customHeight="1" thickBot="1">
      <c r="B195" s="227"/>
      <c r="C195" s="237"/>
      <c r="D195" s="229"/>
      <c r="E195" s="301"/>
      <c r="F195" s="302"/>
      <c r="G195" s="561"/>
      <c r="H195" s="535"/>
      <c r="I195" s="526"/>
      <c r="J195" s="527"/>
      <c r="K195" s="526"/>
      <c r="L195" s="527"/>
      <c r="M195" s="562"/>
      <c r="N195" s="468"/>
      <c r="O195" s="563"/>
      <c r="P195" s="298"/>
      <c r="Q195" s="299"/>
      <c r="R195" s="549" t="s">
        <v>631</v>
      </c>
    </row>
    <row r="196" spans="1:18" ht="13.8"/>
    <row r="197" spans="1:18" ht="13.8"/>
    <row r="198" spans="1:18" ht="13.8"/>
    <row r="199" spans="1:18" ht="13.8"/>
    <row r="200" spans="1:18" ht="13.8"/>
    <row r="201" spans="1:18" ht="13.8"/>
    <row r="202" spans="1:18" ht="13.8"/>
    <row r="203" spans="1:18" ht="13.8"/>
    <row r="204" spans="1:18" ht="13.8"/>
    <row r="205" spans="1:18" ht="13.8"/>
    <row r="206" spans="1:18" ht="13.8"/>
    <row r="207" spans="1:18" ht="13.8"/>
    <row r="208" spans="1:18" ht="13.8"/>
    <row r="209" ht="13.8"/>
    <row r="210" ht="13.8"/>
    <row r="211" ht="13.8"/>
    <row r="212" ht="13.8"/>
    <row r="213" ht="13.8"/>
    <row r="214" ht="13.8"/>
    <row r="215" ht="13.8"/>
    <row r="216" ht="13.8"/>
    <row r="217" ht="13.8"/>
    <row r="218" ht="13.8"/>
    <row r="219" ht="13.8"/>
    <row r="220" ht="13.8"/>
    <row r="221" ht="13.8"/>
    <row r="222" ht="13.8"/>
    <row r="223" ht="13.8"/>
    <row r="224" ht="13.8"/>
    <row r="225" ht="13.8"/>
    <row r="226" ht="13.8"/>
    <row r="227" ht="13.8"/>
    <row r="228" ht="13.8"/>
    <row r="229" ht="13.8"/>
    <row r="230" ht="13.8"/>
    <row r="231" ht="13.8"/>
    <row r="232" ht="13.8"/>
    <row r="233" ht="13.8"/>
    <row r="234" ht="13.8"/>
    <row r="235" ht="13.8"/>
    <row r="236" ht="13.8"/>
    <row r="237" ht="13.8"/>
    <row r="238" ht="13.8"/>
    <row r="239" ht="13.8"/>
    <row r="240" ht="13.8"/>
    <row r="241" ht="13.8"/>
    <row r="242" ht="13.8"/>
    <row r="243" ht="13.8"/>
    <row r="244" ht="13.8"/>
    <row r="245" ht="13.8"/>
    <row r="246" ht="13.8"/>
    <row r="247" ht="13.8"/>
    <row r="248" ht="13.8"/>
    <row r="249" ht="13.8"/>
    <row r="250" ht="13.8"/>
    <row r="251" ht="13.8"/>
    <row r="252" ht="13.8"/>
    <row r="253" ht="13.8"/>
    <row r="254" ht="13.8"/>
    <row r="255" ht="13.8"/>
    <row r="256" ht="13.8"/>
    <row r="257" ht="13.8"/>
    <row r="258" ht="13.8"/>
    <row r="259" ht="13.8"/>
    <row r="260" ht="13.8"/>
    <row r="261" ht="13.8"/>
    <row r="262" ht="13.8"/>
    <row r="263" ht="13.8"/>
    <row r="264" ht="13.8"/>
    <row r="265" ht="13.8"/>
    <row r="266" ht="13.8"/>
    <row r="267" ht="13.8"/>
    <row r="268" ht="13.8"/>
    <row r="269" ht="13.8"/>
    <row r="270" ht="13.8"/>
    <row r="271" ht="13.8"/>
    <row r="272" ht="13.8"/>
    <row r="273" ht="13.8"/>
    <row r="274" ht="13.8"/>
    <row r="275" ht="13.8"/>
    <row r="276" ht="13.8"/>
    <row r="277" ht="13.8"/>
    <row r="278" ht="13.8"/>
    <row r="279" ht="13.8"/>
    <row r="280" ht="13.8"/>
    <row r="281" ht="13.8"/>
    <row r="282" ht="13.8"/>
    <row r="283" ht="13.8"/>
    <row r="284" ht="13.8"/>
    <row r="285" ht="13.8"/>
    <row r="286" ht="13.8"/>
    <row r="287" ht="13.8"/>
    <row r="288" ht="13.8"/>
    <row r="289" ht="13.8"/>
    <row r="290" ht="13.8"/>
    <row r="291" ht="13.8"/>
    <row r="292" ht="13.8"/>
    <row r="293" ht="13.8"/>
    <row r="294" ht="13.8"/>
    <row r="295" ht="13.8"/>
    <row r="296" ht="13.8"/>
    <row r="297" ht="13.8"/>
    <row r="298" ht="13.8"/>
    <row r="299" ht="13.8"/>
    <row r="300" ht="13.8"/>
    <row r="301" ht="13.8"/>
    <row r="302" ht="13.8"/>
    <row r="303" ht="13.8"/>
    <row r="304" ht="13.8"/>
    <row r="305" ht="13.8"/>
    <row r="306" ht="13.8"/>
    <row r="307" ht="13.8"/>
    <row r="308" ht="13.8"/>
    <row r="309" ht="13.8"/>
    <row r="310" ht="13.8"/>
    <row r="311" ht="13.8"/>
    <row r="312" ht="13.8"/>
    <row r="313" ht="13.8"/>
    <row r="314" ht="13.8"/>
    <row r="315" ht="13.8"/>
    <row r="316" ht="13.8"/>
    <row r="317" ht="13.8"/>
    <row r="318" ht="13.8"/>
    <row r="319" ht="13.8"/>
    <row r="320" ht="13.8"/>
    <row r="321" ht="13.8"/>
    <row r="322" ht="13.8"/>
    <row r="323" ht="13.8"/>
    <row r="324" ht="13.8"/>
    <row r="325" ht="13.8"/>
    <row r="326" ht="13.8"/>
    <row r="327" ht="13.8"/>
    <row r="328" ht="13.8"/>
    <row r="329" ht="13.8"/>
    <row r="330" ht="13.8"/>
    <row r="331" ht="13.8"/>
    <row r="332" ht="13.8"/>
    <row r="333" ht="13.8"/>
    <row r="334" ht="13.8"/>
    <row r="335" ht="13.8"/>
    <row r="336" ht="13.8"/>
    <row r="337" ht="13.8"/>
    <row r="338" ht="13.8"/>
    <row r="339" ht="13.8"/>
    <row r="340" ht="13.8"/>
    <row r="341" ht="13.8"/>
    <row r="342" ht="13.8"/>
    <row r="343" ht="13.8"/>
    <row r="344" ht="13.8"/>
    <row r="345" ht="13.8"/>
    <row r="346" ht="13.8"/>
    <row r="347" ht="13.8"/>
    <row r="348" ht="13.8"/>
    <row r="349" ht="13.8"/>
    <row r="350" ht="13.8"/>
    <row r="351" ht="13.8"/>
    <row r="352" ht="13.8"/>
    <row r="353" ht="13.8"/>
    <row r="354" ht="13.8"/>
    <row r="355" ht="13.8"/>
    <row r="356" ht="13.8"/>
    <row r="357" ht="13.8"/>
    <row r="358" ht="13.8"/>
    <row r="359" ht="13.8"/>
    <row r="360" ht="13.8"/>
    <row r="361" ht="13.8"/>
    <row r="362" ht="13.8"/>
    <row r="363" ht="13.8"/>
    <row r="364" ht="13.8"/>
    <row r="365" ht="13.8"/>
    <row r="366" ht="13.8"/>
    <row r="367" ht="13.8"/>
    <row r="368" ht="13.8"/>
    <row r="369" ht="13.8"/>
    <row r="370" ht="13.8"/>
    <row r="371" ht="13.8"/>
    <row r="372" ht="13.8"/>
    <row r="373" ht="13.8"/>
    <row r="374" ht="13.8"/>
    <row r="375" ht="13.8"/>
    <row r="376" ht="13.8"/>
    <row r="377" ht="13.8"/>
    <row r="378" ht="13.8"/>
    <row r="379" ht="13.8"/>
    <row r="380" ht="13.8"/>
    <row r="381" ht="13.8"/>
    <row r="382" ht="13.8"/>
    <row r="383" ht="13.8"/>
    <row r="384" ht="13.8"/>
    <row r="385" ht="13.8"/>
    <row r="386" ht="13.8"/>
    <row r="387" ht="13.8"/>
    <row r="388" ht="13.8"/>
    <row r="389" ht="13.8"/>
    <row r="390" ht="13.8"/>
    <row r="391" ht="13.8"/>
    <row r="392" ht="13.8"/>
    <row r="393" ht="13.8"/>
    <row r="394" ht="13.8"/>
    <row r="395" ht="13.8"/>
    <row r="396" ht="13.8"/>
    <row r="397" ht="13.8"/>
    <row r="398" ht="13.8"/>
    <row r="399" ht="13.8"/>
    <row r="400" ht="13.8"/>
    <row r="401" ht="13.8"/>
    <row r="402" ht="13.8"/>
    <row r="403" ht="13.8"/>
    <row r="404" ht="13.8"/>
    <row r="405" ht="13.8"/>
    <row r="406" ht="13.8"/>
    <row r="407" ht="13.8"/>
    <row r="408" ht="13.8"/>
    <row r="409" ht="13.8"/>
    <row r="410" ht="13.8"/>
    <row r="411" ht="13.8"/>
    <row r="412" ht="13.8"/>
    <row r="413" ht="13.8"/>
    <row r="414" ht="13.8"/>
    <row r="415" ht="13.8"/>
    <row r="416" ht="13.8"/>
    <row r="417" ht="13.8"/>
    <row r="418" ht="13.8"/>
    <row r="419" ht="13.8"/>
    <row r="420" ht="13.8"/>
    <row r="421" ht="13.8"/>
    <row r="422" ht="13.8"/>
    <row r="423" ht="13.8"/>
    <row r="424" ht="13.8"/>
    <row r="425" ht="13.8"/>
    <row r="426" ht="13.8"/>
    <row r="427" ht="13.8"/>
    <row r="428" ht="13.8"/>
    <row r="429" ht="13.8"/>
    <row r="430" ht="13.8"/>
    <row r="431" ht="13.8"/>
    <row r="432" ht="13.8"/>
    <row r="433" ht="13.8"/>
    <row r="434" ht="13.8"/>
    <row r="435" ht="13.8"/>
    <row r="436" ht="13.8"/>
    <row r="437" ht="13.8"/>
    <row r="438" ht="13.8"/>
    <row r="439" ht="13.8"/>
    <row r="440" ht="13.8"/>
    <row r="441" ht="13.8"/>
    <row r="442" ht="13.8"/>
    <row r="443" ht="13.8"/>
    <row r="444" ht="13.8"/>
    <row r="445" ht="13.8"/>
    <row r="446" ht="13.8"/>
    <row r="447" ht="13.8"/>
    <row r="448" ht="13.8"/>
    <row r="449" ht="13.8"/>
    <row r="450" ht="13.8"/>
    <row r="451" ht="13.8"/>
    <row r="452" ht="13.8"/>
    <row r="453" ht="13.8"/>
    <row r="454" ht="13.8"/>
    <row r="455" ht="13.8"/>
    <row r="456" ht="13.8"/>
    <row r="457" ht="13.8"/>
    <row r="458" ht="13.8"/>
    <row r="459" ht="13.8"/>
    <row r="460" ht="13.8"/>
    <row r="461" ht="13.8"/>
    <row r="462" ht="13.8"/>
    <row r="463" ht="13.8"/>
    <row r="464" ht="13.8"/>
    <row r="465" ht="13.8"/>
    <row r="466" ht="13.8"/>
    <row r="467" ht="13.8"/>
    <row r="468" ht="13.8"/>
    <row r="469" ht="13.8"/>
    <row r="470" ht="13.8"/>
    <row r="471" ht="13.8"/>
    <row r="472" ht="13.8"/>
    <row r="473" ht="13.8"/>
    <row r="474" ht="13.8"/>
    <row r="475" ht="13.8"/>
    <row r="476" ht="13.8"/>
    <row r="477" ht="13.8"/>
    <row r="478" ht="13.8"/>
    <row r="479" ht="13.8"/>
    <row r="480" ht="13.8"/>
    <row r="481" ht="13.8"/>
    <row r="482" ht="13.8"/>
    <row r="483" ht="13.8"/>
    <row r="484" ht="13.8"/>
    <row r="485" ht="13.8"/>
    <row r="486" ht="13.8"/>
    <row r="487" ht="13.8"/>
    <row r="488" ht="13.8"/>
    <row r="489" ht="13.8"/>
    <row r="490" ht="13.8"/>
    <row r="491" ht="13.8"/>
    <row r="492" ht="13.8"/>
    <row r="493" ht="13.8"/>
    <row r="494" ht="13.8"/>
    <row r="495" ht="13.8"/>
    <row r="496" ht="13.8"/>
    <row r="497" ht="13.8"/>
    <row r="498" ht="13.8"/>
    <row r="499" ht="13.8"/>
    <row r="500" ht="13.8"/>
    <row r="501" ht="13.8"/>
    <row r="502" ht="13.8"/>
    <row r="503" ht="13.8"/>
    <row r="504" ht="13.8"/>
    <row r="505" ht="13.8"/>
    <row r="506" ht="13.8"/>
    <row r="507" ht="13.8"/>
    <row r="508" ht="13.8"/>
    <row r="509" ht="13.8"/>
    <row r="510" ht="13.8"/>
    <row r="511" ht="13.8"/>
    <row r="512" ht="13.8"/>
    <row r="513" ht="13.8"/>
    <row r="514" ht="13.8"/>
    <row r="515" ht="13.8"/>
    <row r="516" ht="13.8"/>
    <row r="517" ht="13.8"/>
    <row r="518" ht="13.8"/>
    <row r="519" ht="13.8"/>
    <row r="520" ht="13.8"/>
    <row r="521" ht="13.8"/>
    <row r="522" ht="13.8"/>
    <row r="523" ht="13.8"/>
    <row r="524" ht="13.8"/>
    <row r="525" ht="13.8"/>
    <row r="526" ht="13.8"/>
    <row r="527" ht="13.8"/>
    <row r="528" ht="13.8"/>
    <row r="529" ht="13.8"/>
    <row r="530" ht="13.8"/>
    <row r="531" ht="13.8"/>
    <row r="532" ht="13.8"/>
    <row r="533" ht="13.8"/>
    <row r="534" ht="13.8"/>
    <row r="535" ht="13.8"/>
    <row r="536" ht="13.8"/>
    <row r="537" ht="13.8"/>
    <row r="538" ht="13.8"/>
    <row r="539" ht="13.8"/>
    <row r="540" ht="13.8"/>
    <row r="541" ht="13.8"/>
    <row r="542" ht="13.8"/>
    <row r="543" ht="13.8"/>
    <row r="544" ht="13.8"/>
    <row r="545" ht="13.8"/>
    <row r="546" ht="13.8"/>
    <row r="547" ht="13.8"/>
    <row r="548" ht="13.8"/>
    <row r="549" ht="13.8"/>
    <row r="550" ht="13.8"/>
    <row r="551" ht="13.8"/>
    <row r="552" ht="13.8"/>
    <row r="553" ht="13.8"/>
    <row r="554" ht="13.8"/>
    <row r="555" ht="13.8"/>
    <row r="556" ht="13.8"/>
    <row r="557" ht="13.8"/>
    <row r="558" ht="13.8"/>
    <row r="559" ht="13.8"/>
    <row r="560" ht="13.8"/>
    <row r="561" ht="13.8"/>
    <row r="562" ht="13.8"/>
    <row r="563" ht="13.8"/>
    <row r="564" ht="13.8"/>
    <row r="565" ht="13.8"/>
    <row r="566" ht="13.8"/>
    <row r="567" ht="13.8"/>
    <row r="568" ht="13.8"/>
    <row r="569" ht="13.8"/>
    <row r="570" ht="13.8"/>
    <row r="571" ht="13.8"/>
    <row r="572" ht="13.8"/>
    <row r="573" ht="13.8"/>
    <row r="574" ht="13.8"/>
    <row r="575" ht="13.8"/>
    <row r="576" ht="13.8"/>
    <row r="577" ht="13.8"/>
    <row r="578" ht="13.8"/>
    <row r="579" ht="13.8"/>
    <row r="580" ht="13.8"/>
    <row r="581" ht="13.8"/>
    <row r="582" ht="13.8"/>
    <row r="583" ht="13.8"/>
    <row r="584" ht="13.8"/>
    <row r="585" ht="13.8"/>
    <row r="586" ht="13.8"/>
    <row r="587" ht="13.8"/>
    <row r="588" ht="13.8"/>
    <row r="589" ht="13.8"/>
    <row r="590" ht="13.8"/>
    <row r="591" ht="13.8"/>
    <row r="592" ht="13.8"/>
    <row r="593" ht="13.8"/>
    <row r="594" ht="13.8"/>
    <row r="595" ht="13.8"/>
    <row r="596" ht="13.8"/>
    <row r="597" ht="13.8"/>
    <row r="598" ht="13.8"/>
    <row r="599" ht="13.8"/>
    <row r="600" ht="13.8"/>
    <row r="601" ht="13.8"/>
    <row r="602" ht="13.8"/>
    <row r="603" ht="13.8"/>
    <row r="604" ht="13.8"/>
    <row r="605" ht="13.8"/>
    <row r="606" ht="13.8"/>
    <row r="607" ht="13.8"/>
    <row r="608" ht="13.8"/>
    <row r="609" ht="13.8"/>
    <row r="610" ht="13.8"/>
    <row r="611" ht="13.8"/>
    <row r="612" ht="13.8"/>
    <row r="613" ht="13.8"/>
    <row r="614" ht="13.8"/>
    <row r="615" ht="13.8"/>
    <row r="616" ht="13.8"/>
    <row r="617" ht="13.8"/>
    <row r="618" ht="13.8"/>
    <row r="619" ht="13.8"/>
    <row r="620" ht="13.8"/>
    <row r="621" ht="13.8"/>
    <row r="622" ht="13.8"/>
    <row r="623" ht="13.8"/>
    <row r="624" ht="13.8"/>
    <row r="625" ht="13.8"/>
    <row r="626" ht="13.8"/>
    <row r="627" ht="13.8"/>
    <row r="628" ht="13.8"/>
    <row r="629" ht="13.8"/>
    <row r="630" ht="13.8"/>
    <row r="631" ht="13.8"/>
    <row r="632" ht="13.8"/>
    <row r="633" ht="13.8"/>
    <row r="634" ht="13.8"/>
    <row r="635" ht="13.8"/>
    <row r="636" ht="13.8"/>
    <row r="637" ht="13.8"/>
    <row r="638" ht="13.8"/>
    <row r="639" ht="13.8"/>
    <row r="640" ht="13.8"/>
    <row r="641" ht="13.8"/>
    <row r="642" ht="13.8"/>
    <row r="643" ht="13.8"/>
    <row r="644" ht="13.8"/>
    <row r="645" ht="13.8"/>
    <row r="646" ht="13.8"/>
    <row r="647" ht="13.8"/>
    <row r="648" ht="13.8"/>
    <row r="649" ht="13.8"/>
    <row r="650" ht="13.8"/>
    <row r="651" ht="13.8"/>
    <row r="652" ht="13.8"/>
    <row r="653" ht="13.8"/>
    <row r="654" ht="13.8"/>
    <row r="655" ht="13.8"/>
    <row r="656" ht="13.8"/>
    <row r="657" ht="13.8"/>
    <row r="658" ht="13.8"/>
    <row r="659" ht="13.8"/>
    <row r="660" ht="13.8"/>
    <row r="661" ht="13.8"/>
    <row r="662" ht="13.8"/>
    <row r="663" ht="13.8"/>
    <row r="664" ht="13.8"/>
    <row r="665" ht="13.8"/>
    <row r="666" ht="13.8"/>
    <row r="667" ht="13.8"/>
    <row r="668" ht="13.8"/>
    <row r="669" ht="13.8"/>
    <row r="670" ht="13.8"/>
    <row r="671" ht="13.8"/>
    <row r="672" ht="13.8"/>
    <row r="673" ht="13.8"/>
    <row r="674" ht="13.8"/>
    <row r="675" ht="13.8"/>
    <row r="676" ht="13.8"/>
    <row r="677" ht="13.8"/>
    <row r="678" ht="13.8"/>
    <row r="679" ht="13.8"/>
    <row r="680" ht="13.8"/>
    <row r="681" ht="13.8"/>
    <row r="682" ht="13.8"/>
    <row r="683" ht="13.8"/>
    <row r="684" ht="13.8"/>
    <row r="685" ht="13.8"/>
    <row r="686" ht="13.8"/>
    <row r="687" ht="13.8"/>
    <row r="688" ht="13.8"/>
    <row r="689" ht="13.8"/>
    <row r="690" ht="13.8"/>
    <row r="691" ht="13.8"/>
    <row r="692" ht="13.8"/>
    <row r="693" ht="13.8"/>
    <row r="694" ht="13.8"/>
    <row r="695" ht="13.8"/>
    <row r="696" ht="13.8"/>
    <row r="697" ht="13.8"/>
    <row r="698" ht="13.8"/>
    <row r="699" ht="13.8"/>
    <row r="700" ht="13.8"/>
    <row r="701" ht="13.8"/>
    <row r="702" ht="13.8"/>
    <row r="703" ht="13.8"/>
    <row r="704" ht="13.8"/>
    <row r="705" ht="13.8"/>
    <row r="706" ht="13.8"/>
    <row r="707" ht="13.8"/>
    <row r="708" ht="13.8"/>
    <row r="709" ht="13.8"/>
    <row r="710" ht="13.8"/>
    <row r="711" ht="13.8"/>
    <row r="712" ht="13.8"/>
    <row r="713" ht="13.8"/>
    <row r="714" ht="13.8"/>
    <row r="715" ht="13.8"/>
    <row r="716" ht="13.8"/>
    <row r="717" ht="13.8"/>
    <row r="718" ht="13.8"/>
    <row r="719" ht="13.8"/>
    <row r="720" ht="13.8"/>
    <row r="721" ht="13.8"/>
    <row r="722" ht="13.8"/>
    <row r="723" ht="13.8"/>
    <row r="724" ht="13.8"/>
    <row r="725" ht="13.8"/>
    <row r="726" ht="13.8"/>
    <row r="727" ht="13.8"/>
    <row r="728" ht="13.8"/>
    <row r="729" ht="13.8"/>
    <row r="730" ht="13.8"/>
    <row r="731" ht="13.8"/>
    <row r="732" ht="13.8"/>
    <row r="733" ht="13.8"/>
    <row r="734" ht="13.8"/>
    <row r="735" ht="13.8"/>
    <row r="736" ht="13.8"/>
    <row r="737" ht="13.8"/>
    <row r="738" ht="13.8"/>
    <row r="739" ht="13.8"/>
    <row r="740" ht="13.8"/>
    <row r="741" ht="13.8"/>
    <row r="742" ht="13.8"/>
    <row r="743" ht="13.8"/>
    <row r="744" ht="13.8"/>
    <row r="745" ht="13.8"/>
    <row r="746" ht="13.8"/>
    <row r="747" ht="13.8"/>
    <row r="748" ht="13.8"/>
    <row r="749" ht="13.8"/>
    <row r="750" ht="13.8"/>
    <row r="751" ht="13.8"/>
    <row r="752" ht="13.8"/>
    <row r="753" ht="13.8"/>
    <row r="754" ht="13.8"/>
    <row r="755" ht="13.8"/>
    <row r="756" ht="13.8"/>
    <row r="757" ht="13.8"/>
    <row r="758" ht="13.8"/>
    <row r="759" ht="13.8"/>
    <row r="760" ht="13.8"/>
    <row r="761" ht="13.8"/>
    <row r="762" ht="13.8"/>
    <row r="763" ht="13.8"/>
    <row r="764" ht="13.8"/>
    <row r="765" ht="13.8"/>
    <row r="766" ht="13.8"/>
    <row r="767" ht="13.8"/>
    <row r="768" ht="13.8"/>
    <row r="769" ht="13.8"/>
    <row r="770" ht="13.8"/>
    <row r="771" ht="13.8"/>
    <row r="772" ht="13.8"/>
    <row r="773" ht="13.8"/>
    <row r="774" ht="13.8"/>
    <row r="775" ht="13.8"/>
    <row r="776" ht="13.8"/>
    <row r="777" ht="13.8"/>
    <row r="778" ht="13.8"/>
    <row r="779" ht="13.8"/>
    <row r="780" ht="13.8"/>
    <row r="781" ht="13.8"/>
    <row r="782" ht="13.8"/>
    <row r="783" ht="13.8"/>
    <row r="784" ht="13.8"/>
    <row r="785" ht="13.8"/>
    <row r="786" ht="13.8"/>
    <row r="787" ht="13.8"/>
    <row r="788" ht="13.8"/>
    <row r="789" ht="13.8"/>
    <row r="790" ht="13.8"/>
    <row r="791" ht="13.8"/>
    <row r="792" ht="13.8"/>
    <row r="793" ht="13.8"/>
    <row r="794" ht="13.8"/>
    <row r="795" ht="13.8"/>
    <row r="796" ht="13.8"/>
    <row r="797" ht="13.8"/>
    <row r="798" ht="13.8"/>
    <row r="799" ht="13.8"/>
    <row r="800" ht="13.8"/>
    <row r="801" ht="13.8"/>
    <row r="802" ht="13.8"/>
    <row r="803" ht="13.8"/>
    <row r="804" ht="13.8"/>
    <row r="805" ht="13.8"/>
    <row r="806" ht="13.8"/>
    <row r="807" ht="13.8"/>
    <row r="808" ht="13.8"/>
    <row r="809" ht="13.8"/>
    <row r="810" ht="13.8"/>
    <row r="811" ht="13.8"/>
    <row r="812" ht="13.8"/>
    <row r="813" ht="13.8"/>
    <row r="814" ht="13.8"/>
    <row r="815" ht="13.8"/>
    <row r="816" ht="13.8"/>
    <row r="817" ht="13.8"/>
    <row r="818" ht="13.8"/>
    <row r="819" ht="13.8"/>
    <row r="820" ht="13.8"/>
    <row r="821" ht="13.8"/>
    <row r="822" ht="13.8"/>
    <row r="823" ht="13.8"/>
    <row r="824" ht="13.8"/>
    <row r="825" ht="13.8"/>
    <row r="826" ht="13.8"/>
    <row r="827" ht="13.8"/>
    <row r="828" ht="13.8"/>
    <row r="829" ht="13.8"/>
    <row r="830" ht="13.8"/>
    <row r="831" ht="13.8"/>
    <row r="832" ht="13.8"/>
    <row r="833" ht="13.8"/>
    <row r="834" ht="13.8"/>
    <row r="835" ht="13.8"/>
    <row r="836" ht="13.8"/>
    <row r="837" ht="13.8"/>
    <row r="838" ht="13.8"/>
    <row r="839" ht="13.8"/>
    <row r="840" ht="13.8"/>
    <row r="841" ht="13.8"/>
    <row r="842" ht="13.8"/>
    <row r="843" ht="13.8"/>
    <row r="844" ht="13.8"/>
    <row r="845" ht="13.8"/>
    <row r="846" ht="13.8"/>
    <row r="847" ht="13.8"/>
    <row r="848" ht="13.8"/>
    <row r="849" ht="13.8"/>
    <row r="850" ht="13.8"/>
    <row r="851" ht="13.8"/>
    <row r="852" ht="13.8"/>
    <row r="853" ht="13.8"/>
    <row r="854" ht="13.8"/>
    <row r="855" ht="13.8"/>
    <row r="856" ht="13.8"/>
    <row r="857" ht="13.8"/>
    <row r="858" ht="13.8"/>
    <row r="859" ht="13.8"/>
    <row r="860" ht="13.8"/>
    <row r="861" ht="13.8"/>
    <row r="862" ht="13.8"/>
    <row r="863" ht="13.8"/>
    <row r="864" ht="13.8"/>
    <row r="865" ht="13.8"/>
    <row r="866" ht="13.8"/>
    <row r="867" ht="13.8"/>
    <row r="868" ht="13.8"/>
    <row r="869" ht="13.8"/>
    <row r="870" ht="13.8"/>
    <row r="871" ht="13.8"/>
    <row r="872" ht="13.8"/>
    <row r="873" ht="13.8"/>
    <row r="874" ht="13.8"/>
    <row r="875" ht="13.8"/>
    <row r="876" ht="13.8"/>
    <row r="877" ht="13.8"/>
    <row r="878" ht="13.8"/>
    <row r="879" ht="13.8"/>
    <row r="880" ht="13.8"/>
    <row r="881" ht="13.8"/>
    <row r="882" ht="13.8"/>
    <row r="883" ht="13.8"/>
    <row r="884" ht="13.8"/>
    <row r="885" ht="13.8"/>
    <row r="886" ht="13.8"/>
    <row r="887" ht="13.8"/>
    <row r="888" ht="13.8"/>
    <row r="889" ht="13.8"/>
    <row r="890" ht="13.8"/>
    <row r="891" ht="13.8"/>
    <row r="892" ht="13.8"/>
    <row r="893" ht="13.8"/>
    <row r="894" ht="13.8"/>
    <row r="895" ht="13.8"/>
    <row r="896" ht="13.8"/>
    <row r="897" ht="13.8"/>
    <row r="898" ht="13.8"/>
    <row r="899" ht="13.8"/>
    <row r="900" ht="13.8"/>
    <row r="901" ht="13.8"/>
    <row r="902" ht="13.8"/>
    <row r="903" ht="13.8"/>
    <row r="904" ht="13.8"/>
    <row r="905" ht="13.8"/>
    <row r="906" ht="13.8"/>
    <row r="907" ht="13.8"/>
    <row r="908" ht="13.8"/>
    <row r="909" ht="13.8"/>
    <row r="910" ht="13.8"/>
    <row r="911" ht="13.8"/>
    <row r="912" ht="13.8"/>
    <row r="913" ht="13.8"/>
    <row r="914" ht="13.8"/>
    <row r="915" ht="13.8"/>
    <row r="916" ht="13.8"/>
    <row r="917" ht="13.8"/>
    <row r="918" ht="13.8"/>
    <row r="919" ht="13.8"/>
    <row r="920" ht="13.8"/>
    <row r="921" ht="13.8"/>
    <row r="922" ht="13.8"/>
    <row r="923" ht="13.8"/>
    <row r="924" ht="13.8"/>
    <row r="925" ht="13.8"/>
    <row r="926" ht="13.8"/>
    <row r="927" ht="13.8"/>
    <row r="928" ht="13.8"/>
    <row r="929" ht="13.8"/>
    <row r="930" ht="13.8"/>
    <row r="931" ht="13.8"/>
    <row r="932" ht="13.8"/>
    <row r="933" ht="13.8"/>
    <row r="934" ht="13.8"/>
    <row r="935" ht="13.8"/>
    <row r="936" ht="13.8"/>
    <row r="937" ht="13.8"/>
    <row r="938" ht="13.8"/>
    <row r="939" ht="13.8"/>
    <row r="940" ht="13.8"/>
    <row r="941" ht="13.8"/>
    <row r="942" ht="13.8"/>
    <row r="943" ht="13.8"/>
    <row r="944" ht="13.8"/>
    <row r="945" ht="13.8"/>
    <row r="946" ht="13.8"/>
    <row r="947" ht="13.8"/>
    <row r="948" ht="13.8"/>
    <row r="949" ht="13.8"/>
    <row r="950" ht="13.8"/>
    <row r="951" ht="13.8"/>
    <row r="952" ht="13.8"/>
    <row r="953" ht="13.8"/>
    <row r="954" ht="13.8"/>
    <row r="955" ht="13.8"/>
    <row r="956" ht="13.8"/>
    <row r="957" ht="13.8"/>
    <row r="958" ht="13.8"/>
    <row r="959" ht="13.8"/>
    <row r="960" ht="13.8"/>
    <row r="961" ht="13.8"/>
    <row r="962" ht="13.8"/>
    <row r="963" ht="13.8"/>
    <row r="964" ht="13.8"/>
    <row r="965" ht="13.8"/>
    <row r="966" ht="13.8"/>
    <row r="967" ht="13.8"/>
    <row r="968" ht="13.8"/>
    <row r="969" ht="13.8"/>
    <row r="970" ht="13.8"/>
    <row r="971" ht="13.8"/>
    <row r="972" ht="13.8"/>
    <row r="973" ht="13.8"/>
    <row r="974" ht="13.8"/>
    <row r="975" ht="13.8"/>
    <row r="976" ht="13.8"/>
    <row r="977" ht="13.8"/>
    <row r="978" ht="13.8"/>
    <row r="979" ht="13.8"/>
    <row r="980" ht="13.8"/>
    <row r="981" ht="13.8"/>
    <row r="982" ht="13.8"/>
    <row r="983" ht="13.8"/>
    <row r="984" ht="13.8"/>
    <row r="985" ht="13.8"/>
    <row r="986" ht="13.8"/>
    <row r="987" ht="13.8"/>
    <row r="988" ht="13.8"/>
    <row r="989" ht="13.8"/>
    <row r="990" ht="13.8"/>
    <row r="991" ht="13.8"/>
    <row r="992" ht="13.8"/>
    <row r="993" ht="13.8"/>
    <row r="994" ht="13.8"/>
    <row r="995" ht="13.8"/>
    <row r="996" ht="13.8"/>
    <row r="997" ht="13.8"/>
    <row r="998" ht="13.8"/>
    <row r="999" ht="13.8"/>
    <row r="1000" ht="13.8"/>
  </sheetData>
  <autoFilter ref="A4:Z199" xr:uid="{00000000-0009-0000-0000-00000B000000}"/>
  <mergeCells count="285">
    <mergeCell ref="G164:G170"/>
    <mergeCell ref="M164:M170"/>
    <mergeCell ref="N164:N170"/>
    <mergeCell ref="O164:O170"/>
    <mergeCell ref="B171:B174"/>
    <mergeCell ref="C171:C174"/>
    <mergeCell ref="D171:D174"/>
    <mergeCell ref="E171:E174"/>
    <mergeCell ref="F171:F174"/>
    <mergeCell ref="G171:G174"/>
    <mergeCell ref="M171:M174"/>
    <mergeCell ref="N171:N174"/>
    <mergeCell ref="O171:O174"/>
    <mergeCell ref="R153:R154"/>
    <mergeCell ref="B156:B158"/>
    <mergeCell ref="C156:C158"/>
    <mergeCell ref="D156:D158"/>
    <mergeCell ref="E156:E158"/>
    <mergeCell ref="F156:F158"/>
    <mergeCell ref="G156:G158"/>
    <mergeCell ref="M156:M158"/>
    <mergeCell ref="N156:N158"/>
    <mergeCell ref="O156:O158"/>
    <mergeCell ref="B151:B155"/>
    <mergeCell ref="C151:C155"/>
    <mergeCell ref="D151:D155"/>
    <mergeCell ref="E151:E155"/>
    <mergeCell ref="F151:F155"/>
    <mergeCell ref="G151:G155"/>
    <mergeCell ref="M151:M155"/>
    <mergeCell ref="N151:N155"/>
    <mergeCell ref="O151:O155"/>
    <mergeCell ref="B145:B150"/>
    <mergeCell ref="C145:C150"/>
    <mergeCell ref="D145:D150"/>
    <mergeCell ref="E145:E150"/>
    <mergeCell ref="F145:F150"/>
    <mergeCell ref="G145:G150"/>
    <mergeCell ref="M145:M150"/>
    <mergeCell ref="N145:N150"/>
    <mergeCell ref="O145:O150"/>
    <mergeCell ref="B138:B144"/>
    <mergeCell ref="C138:C144"/>
    <mergeCell ref="D138:D144"/>
    <mergeCell ref="E138:E144"/>
    <mergeCell ref="F138:F144"/>
    <mergeCell ref="G138:G144"/>
    <mergeCell ref="M138:M144"/>
    <mergeCell ref="N138:N144"/>
    <mergeCell ref="O138:O144"/>
    <mergeCell ref="B134:B137"/>
    <mergeCell ref="C134:C137"/>
    <mergeCell ref="D134:D137"/>
    <mergeCell ref="E134:E137"/>
    <mergeCell ref="F134:F137"/>
    <mergeCell ref="G134:G137"/>
    <mergeCell ref="M134:M137"/>
    <mergeCell ref="N134:N137"/>
    <mergeCell ref="O134:O137"/>
    <mergeCell ref="B129:B133"/>
    <mergeCell ref="C129:C133"/>
    <mergeCell ref="D129:D133"/>
    <mergeCell ref="E129:E133"/>
    <mergeCell ref="F129:F133"/>
    <mergeCell ref="G129:G133"/>
    <mergeCell ref="M129:M133"/>
    <mergeCell ref="N129:N133"/>
    <mergeCell ref="O129:O133"/>
    <mergeCell ref="B124:B128"/>
    <mergeCell ref="C124:C128"/>
    <mergeCell ref="D124:D128"/>
    <mergeCell ref="E124:E128"/>
    <mergeCell ref="F124:F128"/>
    <mergeCell ref="G124:G128"/>
    <mergeCell ref="M124:M128"/>
    <mergeCell ref="N124:N128"/>
    <mergeCell ref="O124:O128"/>
    <mergeCell ref="B116:B123"/>
    <mergeCell ref="C116:C123"/>
    <mergeCell ref="D116:D123"/>
    <mergeCell ref="E116:E123"/>
    <mergeCell ref="F116:F123"/>
    <mergeCell ref="G116:G123"/>
    <mergeCell ref="M116:M123"/>
    <mergeCell ref="N116:N123"/>
    <mergeCell ref="O116:O123"/>
    <mergeCell ref="R110:R111"/>
    <mergeCell ref="B112:B115"/>
    <mergeCell ref="C112:C115"/>
    <mergeCell ref="D112:D115"/>
    <mergeCell ref="E112:E115"/>
    <mergeCell ref="F112:F115"/>
    <mergeCell ref="G112:G115"/>
    <mergeCell ref="M112:M115"/>
    <mergeCell ref="N112:N115"/>
    <mergeCell ref="O112:O115"/>
    <mergeCell ref="B101:B111"/>
    <mergeCell ref="C101:C111"/>
    <mergeCell ref="D101:D111"/>
    <mergeCell ref="E101:E111"/>
    <mergeCell ref="F101:F111"/>
    <mergeCell ref="G101:G111"/>
    <mergeCell ref="M101:M111"/>
    <mergeCell ref="N101:N111"/>
    <mergeCell ref="O101:O111"/>
    <mergeCell ref="O88:O93"/>
    <mergeCell ref="R92:R93"/>
    <mergeCell ref="B94:B100"/>
    <mergeCell ref="C94:C100"/>
    <mergeCell ref="D94:D100"/>
    <mergeCell ref="E94:E100"/>
    <mergeCell ref="F94:F100"/>
    <mergeCell ref="G94:G100"/>
    <mergeCell ref="M94:M100"/>
    <mergeCell ref="N94:N100"/>
    <mergeCell ref="O94:O100"/>
    <mergeCell ref="B83:B87"/>
    <mergeCell ref="C83:C87"/>
    <mergeCell ref="D83:D87"/>
    <mergeCell ref="E83:E87"/>
    <mergeCell ref="F83:F87"/>
    <mergeCell ref="G83:G87"/>
    <mergeCell ref="B88:B93"/>
    <mergeCell ref="C88:C93"/>
    <mergeCell ref="D88:D93"/>
    <mergeCell ref="E88:E93"/>
    <mergeCell ref="F88:F93"/>
    <mergeCell ref="G88:G93"/>
    <mergeCell ref="B76:B82"/>
    <mergeCell ref="C76:C82"/>
    <mergeCell ref="D76:D82"/>
    <mergeCell ref="E76:E82"/>
    <mergeCell ref="F76:F82"/>
    <mergeCell ref="G76:G82"/>
    <mergeCell ref="M76:M82"/>
    <mergeCell ref="N76:N82"/>
    <mergeCell ref="R81:R82"/>
    <mergeCell ref="B70:B75"/>
    <mergeCell ref="C70:C75"/>
    <mergeCell ref="D70:D75"/>
    <mergeCell ref="E70:E75"/>
    <mergeCell ref="F70:F75"/>
    <mergeCell ref="G70:G75"/>
    <mergeCell ref="M70:M75"/>
    <mergeCell ref="N70:N75"/>
    <mergeCell ref="R74:R75"/>
    <mergeCell ref="S54:S62"/>
    <mergeCell ref="B63:B69"/>
    <mergeCell ref="C63:C69"/>
    <mergeCell ref="D63:D69"/>
    <mergeCell ref="E63:E69"/>
    <mergeCell ref="F63:F69"/>
    <mergeCell ref="G63:G69"/>
    <mergeCell ref="M63:M69"/>
    <mergeCell ref="N63:N69"/>
    <mergeCell ref="R68:R69"/>
    <mergeCell ref="C49:C53"/>
    <mergeCell ref="D49:D53"/>
    <mergeCell ref="E49:E53"/>
    <mergeCell ref="F49:F53"/>
    <mergeCell ref="G49:G53"/>
    <mergeCell ref="M49:M53"/>
    <mergeCell ref="N49:N53"/>
    <mergeCell ref="O49:O53"/>
    <mergeCell ref="B54:B62"/>
    <mergeCell ref="C54:C62"/>
    <mergeCell ref="D54:D62"/>
    <mergeCell ref="E54:E62"/>
    <mergeCell ref="F54:F62"/>
    <mergeCell ref="G54:G62"/>
    <mergeCell ref="M54:M62"/>
    <mergeCell ref="N54:N62"/>
    <mergeCell ref="C30:C34"/>
    <mergeCell ref="D30:D34"/>
    <mergeCell ref="E30:E34"/>
    <mergeCell ref="F30:F34"/>
    <mergeCell ref="G30:G34"/>
    <mergeCell ref="M30:M34"/>
    <mergeCell ref="N30:N34"/>
    <mergeCell ref="S30:S34"/>
    <mergeCell ref="B35:B41"/>
    <mergeCell ref="C35:C41"/>
    <mergeCell ref="D35:D41"/>
    <mergeCell ref="E35:E41"/>
    <mergeCell ref="F35:F41"/>
    <mergeCell ref="G35:G41"/>
    <mergeCell ref="M35:M41"/>
    <mergeCell ref="N35:N41"/>
    <mergeCell ref="O35:O41"/>
    <mergeCell ref="B164:B170"/>
    <mergeCell ref="C164:C170"/>
    <mergeCell ref="D164:D170"/>
    <mergeCell ref="E164:E170"/>
    <mergeCell ref="F164:F170"/>
    <mergeCell ref="B176:B183"/>
    <mergeCell ref="C176:C183"/>
    <mergeCell ref="D176:D183"/>
    <mergeCell ref="E176:E183"/>
    <mergeCell ref="F176:F183"/>
    <mergeCell ref="B184:B191"/>
    <mergeCell ref="C184:C191"/>
    <mergeCell ref="D184:D191"/>
    <mergeCell ref="E184:E191"/>
    <mergeCell ref="F184:F191"/>
    <mergeCell ref="G184:G191"/>
    <mergeCell ref="G176:G183"/>
    <mergeCell ref="B192:B195"/>
    <mergeCell ref="C192:C195"/>
    <mergeCell ref="D192:D195"/>
    <mergeCell ref="E192:E195"/>
    <mergeCell ref="F192:F195"/>
    <mergeCell ref="G192:G195"/>
    <mergeCell ref="E159:E163"/>
    <mergeCell ref="F159:F163"/>
    <mergeCell ref="B159:B163"/>
    <mergeCell ref="G159:G163"/>
    <mergeCell ref="C159:C163"/>
    <mergeCell ref="D159:D163"/>
    <mergeCell ref="M5:M10"/>
    <mergeCell ref="N5:N10"/>
    <mergeCell ref="M11:M17"/>
    <mergeCell ref="N11:N17"/>
    <mergeCell ref="O11:O17"/>
    <mergeCell ref="S11:S17"/>
    <mergeCell ref="R16:R17"/>
    <mergeCell ref="B1:R1"/>
    <mergeCell ref="B5:B10"/>
    <mergeCell ref="C5:C10"/>
    <mergeCell ref="D5:D10"/>
    <mergeCell ref="E5:E10"/>
    <mergeCell ref="F5:F10"/>
    <mergeCell ref="G5:G10"/>
    <mergeCell ref="B11:B17"/>
    <mergeCell ref="C11:C17"/>
    <mergeCell ref="D11:D17"/>
    <mergeCell ref="E11:E17"/>
    <mergeCell ref="F11:F17"/>
    <mergeCell ref="G11:G17"/>
    <mergeCell ref="B18:B25"/>
    <mergeCell ref="G18:G25"/>
    <mergeCell ref="M26:M29"/>
    <mergeCell ref="C18:C25"/>
    <mergeCell ref="D18:D25"/>
    <mergeCell ref="B26:B29"/>
    <mergeCell ref="N26:N29"/>
    <mergeCell ref="O26:O29"/>
    <mergeCell ref="S26:S29"/>
    <mergeCell ref="E18:E25"/>
    <mergeCell ref="F18:F25"/>
    <mergeCell ref="M18:M25"/>
    <mergeCell ref="N18:N25"/>
    <mergeCell ref="O18:O25"/>
    <mergeCell ref="S18:S25"/>
    <mergeCell ref="R24:R25"/>
    <mergeCell ref="B30:B34"/>
    <mergeCell ref="B42:B48"/>
    <mergeCell ref="C42:C48"/>
    <mergeCell ref="D42:D48"/>
    <mergeCell ref="E42:E48"/>
    <mergeCell ref="F42:F48"/>
    <mergeCell ref="G42:G48"/>
    <mergeCell ref="M42:M48"/>
    <mergeCell ref="N42:N48"/>
    <mergeCell ref="O42:O48"/>
    <mergeCell ref="S42:S48"/>
    <mergeCell ref="B49:B53"/>
    <mergeCell ref="M159:M163"/>
    <mergeCell ref="N159:N163"/>
    <mergeCell ref="O159:O163"/>
    <mergeCell ref="M176:M183"/>
    <mergeCell ref="N176:N183"/>
    <mergeCell ref="R179:R180"/>
    <mergeCell ref="M184:M191"/>
    <mergeCell ref="N184:N191"/>
    <mergeCell ref="S171:S174"/>
    <mergeCell ref="S176:S183"/>
    <mergeCell ref="R184:R187"/>
    <mergeCell ref="M192:M195"/>
    <mergeCell ref="N192:N195"/>
    <mergeCell ref="O192:O195"/>
    <mergeCell ref="R192:R193"/>
    <mergeCell ref="M88:M93"/>
    <mergeCell ref="N88:N93"/>
    <mergeCell ref="S124:S128"/>
    <mergeCell ref="S129:S133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V1000"/>
  <sheetViews>
    <sheetView workbookViewId="0"/>
  </sheetViews>
  <sheetFormatPr defaultRowHeight="15" customHeight="1"/>
  <cols>
    <col min="3" max="3" width="31.5546875" bestFit="1" customWidth="1"/>
    <col min="4" max="4" width="9.6640625" bestFit="1" customWidth="1"/>
    <col min="5" max="5" width="11.77734375" bestFit="1" customWidth="1"/>
    <col min="6" max="6" width="14.33203125" bestFit="1" customWidth="1"/>
    <col min="7" max="7" width="8.21875" bestFit="1" customWidth="1"/>
    <col min="8" max="8" width="15" bestFit="1" customWidth="1"/>
    <col min="9" max="9" width="13.77734375" bestFit="1" customWidth="1"/>
    <col min="10" max="10" width="31.21875" bestFit="1" customWidth="1"/>
    <col min="11" max="11" width="8.77734375" bestFit="1" customWidth="1"/>
    <col min="12" max="12" width="34.21875" bestFit="1" customWidth="1"/>
    <col min="13" max="13" width="51.5546875" bestFit="1" customWidth="1"/>
    <col min="14" max="14" width="7.33203125" bestFit="1" customWidth="1"/>
    <col min="15" max="15" width="10.21875" bestFit="1" customWidth="1"/>
    <col min="16" max="16" width="8.44140625" bestFit="1" customWidth="1"/>
    <col min="17" max="17" width="12.21875" bestFit="1" customWidth="1"/>
    <col min="18" max="18" width="9" bestFit="1" customWidth="1"/>
    <col min="19" max="19" width="10.6640625" bestFit="1" customWidth="1"/>
    <col min="22" max="22" width="35.77734375" bestFit="1" customWidth="1"/>
  </cols>
  <sheetData>
    <row r="1" spans="2:22" ht="32.25" customHeight="1" thickBot="1">
      <c r="B1" s="566" t="s">
        <v>639</v>
      </c>
      <c r="C1" s="567"/>
      <c r="D1" s="568"/>
      <c r="E1" s="569" t="s">
        <v>640</v>
      </c>
      <c r="F1" s="569"/>
      <c r="G1" s="569"/>
      <c r="H1" s="569"/>
      <c r="I1" s="569"/>
      <c r="J1" s="569"/>
      <c r="K1" s="570"/>
      <c r="L1" s="571" t="s">
        <v>641</v>
      </c>
      <c r="M1" s="570"/>
      <c r="N1" s="572" t="s">
        <v>343</v>
      </c>
      <c r="O1" s="572"/>
      <c r="P1" s="572"/>
      <c r="Q1" s="572"/>
      <c r="R1" s="571" t="s">
        <v>642</v>
      </c>
      <c r="S1" s="570"/>
    </row>
    <row r="2" spans="2:22" ht="45" customHeight="1">
      <c r="B2" s="573" t="s">
        <v>367</v>
      </c>
      <c r="C2" s="573" t="s">
        <v>643</v>
      </c>
      <c r="D2" s="573" t="s">
        <v>644</v>
      </c>
      <c r="E2" s="574" t="s">
        <v>645</v>
      </c>
      <c r="F2" s="575" t="s">
        <v>646</v>
      </c>
      <c r="G2" s="575" t="s">
        <v>647</v>
      </c>
      <c r="H2" s="575" t="s">
        <v>648</v>
      </c>
      <c r="I2" s="575" t="s">
        <v>649</v>
      </c>
      <c r="J2" s="576" t="s">
        <v>650</v>
      </c>
      <c r="K2" s="577" t="s">
        <v>651</v>
      </c>
      <c r="L2" s="578" t="s">
        <v>652</v>
      </c>
      <c r="M2" s="578" t="s">
        <v>242</v>
      </c>
      <c r="N2" s="579" t="s">
        <v>345</v>
      </c>
      <c r="O2" s="580" t="s">
        <v>653</v>
      </c>
      <c r="P2" s="580" t="s">
        <v>654</v>
      </c>
      <c r="Q2" s="581" t="s">
        <v>655</v>
      </c>
      <c r="R2" s="582" t="s">
        <v>656</v>
      </c>
      <c r="S2" s="582" t="s">
        <v>657</v>
      </c>
    </row>
    <row r="3" spans="2:22" ht="44.25" hidden="1" customHeight="1">
      <c r="C3" s="583" t="s">
        <v>363</v>
      </c>
      <c r="D3" s="584" t="s">
        <v>27</v>
      </c>
      <c r="E3" s="585" t="s">
        <v>658</v>
      </c>
      <c r="F3" s="586" t="s">
        <v>333</v>
      </c>
      <c r="G3" s="587">
        <v>1</v>
      </c>
      <c r="H3" s="588">
        <v>46112</v>
      </c>
      <c r="I3" s="589">
        <v>0</v>
      </c>
      <c r="J3" s="589"/>
      <c r="K3" s="590" t="s">
        <v>659</v>
      </c>
      <c r="L3" s="591" t="s">
        <v>147</v>
      </c>
      <c r="M3" s="591" t="s">
        <v>660</v>
      </c>
      <c r="N3" s="592" t="s">
        <v>659</v>
      </c>
      <c r="O3" s="592" t="s">
        <v>659</v>
      </c>
      <c r="P3" s="593" t="s">
        <v>659</v>
      </c>
      <c r="Q3" s="593" t="s">
        <v>659</v>
      </c>
      <c r="R3" s="594" t="s">
        <v>346</v>
      </c>
      <c r="S3" s="595" t="s">
        <v>346</v>
      </c>
    </row>
    <row r="4" spans="2:22" ht="63.75" customHeight="1">
      <c r="B4" s="596" t="s">
        <v>3</v>
      </c>
      <c r="C4" s="597" t="s">
        <v>336</v>
      </c>
      <c r="D4" s="584" t="s">
        <v>27</v>
      </c>
      <c r="E4" s="598" t="s">
        <v>658</v>
      </c>
      <c r="F4" s="599" t="s">
        <v>333</v>
      </c>
      <c r="G4" s="599">
        <v>1</v>
      </c>
      <c r="H4" s="600">
        <v>46142</v>
      </c>
      <c r="I4" s="601"/>
      <c r="J4" s="602" t="s">
        <v>661</v>
      </c>
      <c r="K4" s="603" t="s">
        <v>659</v>
      </c>
      <c r="L4" s="604" t="s">
        <v>662</v>
      </c>
      <c r="M4" s="605" t="s">
        <v>663</v>
      </c>
      <c r="N4" s="606" t="s">
        <v>659</v>
      </c>
      <c r="O4" s="606" t="s">
        <v>659</v>
      </c>
      <c r="P4" s="606" t="s">
        <v>659</v>
      </c>
      <c r="Q4" s="606" t="s">
        <v>659</v>
      </c>
      <c r="R4" s="603" t="s">
        <v>346</v>
      </c>
      <c r="S4" s="603" t="s">
        <v>346</v>
      </c>
    </row>
    <row r="5" spans="2:22" ht="44.25" hidden="1" customHeight="1">
      <c r="B5" s="596" t="s">
        <v>3</v>
      </c>
      <c r="C5" s="597" t="s">
        <v>356</v>
      </c>
      <c r="D5" s="584" t="s">
        <v>27</v>
      </c>
      <c r="E5" s="607" t="s">
        <v>658</v>
      </c>
      <c r="F5" s="608" t="s">
        <v>333</v>
      </c>
      <c r="G5" s="608">
        <v>1</v>
      </c>
      <c r="H5" s="609">
        <v>46142</v>
      </c>
      <c r="I5" s="610"/>
      <c r="J5" s="602" t="s">
        <v>661</v>
      </c>
      <c r="K5" s="603" t="s">
        <v>659</v>
      </c>
      <c r="L5" s="591" t="s">
        <v>147</v>
      </c>
      <c r="M5" s="605" t="s">
        <v>664</v>
      </c>
      <c r="N5" s="606" t="s">
        <v>659</v>
      </c>
      <c r="O5" s="603" t="s">
        <v>346</v>
      </c>
      <c r="P5" s="603" t="s">
        <v>659</v>
      </c>
      <c r="Q5" s="603" t="s">
        <v>665</v>
      </c>
      <c r="R5" s="603" t="s">
        <v>346</v>
      </c>
      <c r="S5" s="603" t="s">
        <v>346</v>
      </c>
    </row>
    <row r="6" spans="2:22" ht="44.25" customHeight="1">
      <c r="B6" s="596" t="s">
        <v>10</v>
      </c>
      <c r="C6" s="597" t="s">
        <v>337</v>
      </c>
      <c r="D6" s="611" t="s">
        <v>27</v>
      </c>
      <c r="E6" s="607" t="s">
        <v>658</v>
      </c>
      <c r="F6" s="608" t="s">
        <v>333</v>
      </c>
      <c r="G6" s="608">
        <v>1</v>
      </c>
      <c r="H6" s="609">
        <v>46142</v>
      </c>
      <c r="I6" s="610"/>
      <c r="J6" s="602" t="s">
        <v>661</v>
      </c>
      <c r="K6" s="612" t="s">
        <v>659</v>
      </c>
      <c r="L6" s="613" t="s">
        <v>666</v>
      </c>
      <c r="M6" s="604" t="s">
        <v>667</v>
      </c>
      <c r="N6" s="606" t="s">
        <v>659</v>
      </c>
      <c r="O6" s="606" t="s">
        <v>659</v>
      </c>
      <c r="P6" s="606" t="s">
        <v>659</v>
      </c>
      <c r="Q6" s="606" t="s">
        <v>659</v>
      </c>
      <c r="R6" s="603" t="s">
        <v>346</v>
      </c>
      <c r="S6" s="603" t="s">
        <v>346</v>
      </c>
    </row>
    <row r="7" spans="2:22" ht="44.25" customHeight="1">
      <c r="B7" s="596" t="s">
        <v>5</v>
      </c>
      <c r="C7" s="597" t="s">
        <v>334</v>
      </c>
      <c r="D7" s="611" t="s">
        <v>27</v>
      </c>
      <c r="E7" s="607" t="s">
        <v>658</v>
      </c>
      <c r="F7" s="608" t="s">
        <v>333</v>
      </c>
      <c r="G7" s="608">
        <v>1</v>
      </c>
      <c r="H7" s="609">
        <v>46142</v>
      </c>
      <c r="I7" s="610"/>
      <c r="J7" s="602" t="s">
        <v>661</v>
      </c>
      <c r="K7" s="603" t="s">
        <v>659</v>
      </c>
      <c r="L7" s="613" t="s">
        <v>666</v>
      </c>
      <c r="M7" s="604" t="s">
        <v>668</v>
      </c>
      <c r="N7" s="606" t="s">
        <v>659</v>
      </c>
      <c r="O7" s="606" t="s">
        <v>659</v>
      </c>
      <c r="P7" s="603" t="s">
        <v>659</v>
      </c>
      <c r="Q7" s="603" t="s">
        <v>659</v>
      </c>
      <c r="R7" s="603" t="s">
        <v>346</v>
      </c>
      <c r="S7" s="603" t="s">
        <v>346</v>
      </c>
      <c r="U7" s="614" t="s">
        <v>669</v>
      </c>
      <c r="V7" s="615" t="s">
        <v>670</v>
      </c>
    </row>
    <row r="8" spans="2:22" ht="44.25" customHeight="1">
      <c r="B8" s="596" t="s">
        <v>5</v>
      </c>
      <c r="C8" s="597" t="s">
        <v>671</v>
      </c>
      <c r="D8" s="616" t="s">
        <v>289</v>
      </c>
      <c r="E8" s="607" t="s">
        <v>658</v>
      </c>
      <c r="F8" s="608" t="s">
        <v>339</v>
      </c>
      <c r="G8" s="608">
        <v>18</v>
      </c>
      <c r="H8" s="609">
        <v>46660</v>
      </c>
      <c r="I8" s="610" t="s">
        <v>672</v>
      </c>
      <c r="J8" s="617" t="s">
        <v>673</v>
      </c>
      <c r="K8" s="603" t="s">
        <v>346</v>
      </c>
      <c r="L8" s="613" t="s">
        <v>666</v>
      </c>
      <c r="M8" s="605" t="s">
        <v>674</v>
      </c>
      <c r="N8" s="606" t="s">
        <v>659</v>
      </c>
      <c r="O8" s="606" t="s">
        <v>659</v>
      </c>
      <c r="P8" s="606" t="s">
        <v>659</v>
      </c>
      <c r="Q8" s="606" t="s">
        <v>665</v>
      </c>
      <c r="R8" s="603" t="s">
        <v>346</v>
      </c>
      <c r="S8" s="603" t="s">
        <v>346</v>
      </c>
      <c r="U8" s="618" t="s">
        <v>675</v>
      </c>
      <c r="V8" s="619" t="s">
        <v>676</v>
      </c>
    </row>
    <row r="9" spans="2:22" ht="44.25" customHeight="1">
      <c r="B9" s="596" t="s">
        <v>5</v>
      </c>
      <c r="C9" s="597" t="s">
        <v>677</v>
      </c>
      <c r="D9" s="616" t="s">
        <v>289</v>
      </c>
      <c r="E9" s="607" t="s">
        <v>658</v>
      </c>
      <c r="F9" s="608" t="s">
        <v>339</v>
      </c>
      <c r="G9" s="608">
        <v>12</v>
      </c>
      <c r="H9" s="609">
        <v>46477</v>
      </c>
      <c r="I9" s="610" t="s">
        <v>678</v>
      </c>
      <c r="J9" s="617" t="s">
        <v>679</v>
      </c>
      <c r="K9" s="603" t="s">
        <v>346</v>
      </c>
      <c r="L9" s="613" t="s">
        <v>666</v>
      </c>
      <c r="M9" s="605" t="s">
        <v>680</v>
      </c>
      <c r="N9" s="606" t="s">
        <v>659</v>
      </c>
      <c r="O9" s="606" t="s">
        <v>659</v>
      </c>
      <c r="P9" s="606" t="s">
        <v>659</v>
      </c>
      <c r="Q9" s="606" t="s">
        <v>665</v>
      </c>
      <c r="R9" s="603" t="s">
        <v>346</v>
      </c>
      <c r="S9" s="603" t="s">
        <v>346</v>
      </c>
      <c r="U9" s="620" t="s">
        <v>681</v>
      </c>
      <c r="V9" s="621" t="s">
        <v>682</v>
      </c>
    </row>
    <row r="10" spans="2:22" ht="58.5" customHeight="1">
      <c r="B10" s="596" t="s">
        <v>10</v>
      </c>
      <c r="C10" s="597" t="s">
        <v>338</v>
      </c>
      <c r="D10" s="611" t="s">
        <v>27</v>
      </c>
      <c r="E10" s="607" t="s">
        <v>658</v>
      </c>
      <c r="F10" s="608" t="s">
        <v>333</v>
      </c>
      <c r="G10" s="608">
        <v>1</v>
      </c>
      <c r="H10" s="609">
        <v>46142</v>
      </c>
      <c r="I10" s="610"/>
      <c r="J10" s="602" t="s">
        <v>661</v>
      </c>
      <c r="K10" s="603" t="s">
        <v>659</v>
      </c>
      <c r="L10" s="613" t="s">
        <v>666</v>
      </c>
      <c r="M10" s="604" t="s">
        <v>683</v>
      </c>
      <c r="N10" s="606" t="s">
        <v>659</v>
      </c>
      <c r="O10" s="603" t="s">
        <v>346</v>
      </c>
      <c r="P10" s="603" t="s">
        <v>659</v>
      </c>
      <c r="Q10" s="603" t="s">
        <v>665</v>
      </c>
      <c r="R10" s="603" t="s">
        <v>346</v>
      </c>
      <c r="S10" s="603" t="s">
        <v>346</v>
      </c>
    </row>
    <row r="11" spans="2:22" ht="51.75" customHeight="1">
      <c r="B11" s="596" t="s">
        <v>7</v>
      </c>
      <c r="C11" s="597" t="s">
        <v>341</v>
      </c>
      <c r="D11" s="611" t="s">
        <v>27</v>
      </c>
      <c r="E11" s="607" t="s">
        <v>658</v>
      </c>
      <c r="F11" s="608" t="s">
        <v>333</v>
      </c>
      <c r="G11" s="608">
        <v>1</v>
      </c>
      <c r="H11" s="609">
        <v>46142</v>
      </c>
      <c r="I11" s="610"/>
      <c r="J11" s="602" t="s">
        <v>661</v>
      </c>
      <c r="K11" s="603" t="s">
        <v>659</v>
      </c>
      <c r="L11" s="613" t="s">
        <v>666</v>
      </c>
      <c r="M11" s="605" t="s">
        <v>684</v>
      </c>
      <c r="N11" s="606" t="s">
        <v>659</v>
      </c>
      <c r="O11" s="603" t="s">
        <v>346</v>
      </c>
      <c r="P11" s="603" t="s">
        <v>659</v>
      </c>
      <c r="Q11" s="603" t="s">
        <v>665</v>
      </c>
      <c r="R11" s="603" t="s">
        <v>346</v>
      </c>
      <c r="S11" s="603" t="s">
        <v>346</v>
      </c>
    </row>
    <row r="12" spans="2:22" ht="44.25" customHeight="1">
      <c r="B12" s="596" t="s">
        <v>6</v>
      </c>
      <c r="C12" s="597" t="s">
        <v>342</v>
      </c>
      <c r="D12" s="616" t="s">
        <v>289</v>
      </c>
      <c r="E12" s="607" t="s">
        <v>658</v>
      </c>
      <c r="F12" s="608" t="s">
        <v>339</v>
      </c>
      <c r="G12" s="608">
        <v>3</v>
      </c>
      <c r="H12" s="609">
        <v>46203</v>
      </c>
      <c r="I12" s="610" t="s">
        <v>685</v>
      </c>
      <c r="J12" s="617" t="s">
        <v>686</v>
      </c>
      <c r="K12" s="603" t="s">
        <v>346</v>
      </c>
      <c r="L12" s="613" t="s">
        <v>666</v>
      </c>
      <c r="M12" s="605" t="s">
        <v>687</v>
      </c>
      <c r="N12" s="606" t="s">
        <v>659</v>
      </c>
      <c r="O12" s="606" t="s">
        <v>346</v>
      </c>
      <c r="P12" s="603" t="s">
        <v>659</v>
      </c>
      <c r="Q12" s="603" t="s">
        <v>665</v>
      </c>
      <c r="R12" s="603" t="s">
        <v>346</v>
      </c>
      <c r="S12" s="603" t="s">
        <v>346</v>
      </c>
    </row>
    <row r="13" spans="2:22" ht="44.25" hidden="1" customHeight="1">
      <c r="B13" s="596" t="s">
        <v>11</v>
      </c>
      <c r="C13" s="597" t="s">
        <v>688</v>
      </c>
      <c r="D13" s="616" t="s">
        <v>289</v>
      </c>
      <c r="E13" s="607" t="s">
        <v>658</v>
      </c>
      <c r="F13" s="608" t="s">
        <v>339</v>
      </c>
      <c r="G13" s="608">
        <v>14</v>
      </c>
      <c r="H13" s="609">
        <v>46538</v>
      </c>
      <c r="I13" s="610" t="s">
        <v>689</v>
      </c>
      <c r="J13" s="622" t="s">
        <v>690</v>
      </c>
      <c r="K13" s="603" t="s">
        <v>346</v>
      </c>
      <c r="L13" s="591" t="s">
        <v>147</v>
      </c>
      <c r="M13" s="605" t="s">
        <v>691</v>
      </c>
      <c r="N13" s="606" t="s">
        <v>659</v>
      </c>
      <c r="O13" s="606" t="s">
        <v>659</v>
      </c>
      <c r="P13" s="606" t="s">
        <v>659</v>
      </c>
      <c r="Q13" s="606" t="s">
        <v>659</v>
      </c>
      <c r="R13" s="603" t="s">
        <v>346</v>
      </c>
      <c r="S13" s="603" t="s">
        <v>346</v>
      </c>
    </row>
    <row r="14" spans="2:22" ht="57.75" customHeight="1">
      <c r="B14" s="596" t="s">
        <v>3</v>
      </c>
      <c r="C14" s="597" t="s">
        <v>335</v>
      </c>
      <c r="D14" s="611" t="s">
        <v>27</v>
      </c>
      <c r="E14" s="607" t="s">
        <v>658</v>
      </c>
      <c r="F14" s="608" t="s">
        <v>333</v>
      </c>
      <c r="G14" s="608">
        <v>1</v>
      </c>
      <c r="H14" s="609">
        <v>46142</v>
      </c>
      <c r="I14" s="610"/>
      <c r="J14" s="622" t="s">
        <v>661</v>
      </c>
      <c r="K14" s="603" t="s">
        <v>659</v>
      </c>
      <c r="L14" s="613" t="s">
        <v>666</v>
      </c>
      <c r="M14" s="604" t="s">
        <v>692</v>
      </c>
      <c r="N14" s="606" t="s">
        <v>659</v>
      </c>
      <c r="O14" s="603" t="s">
        <v>659</v>
      </c>
      <c r="P14" s="603" t="s">
        <v>659</v>
      </c>
      <c r="Q14" s="603" t="s">
        <v>659</v>
      </c>
      <c r="R14" s="603" t="s">
        <v>346</v>
      </c>
      <c r="S14" s="603" t="s">
        <v>346</v>
      </c>
    </row>
    <row r="15" spans="2:22" ht="13.2"/>
    <row r="16" spans="2:22" ht="57.6">
      <c r="B16" s="614" t="s">
        <v>669</v>
      </c>
      <c r="C16" s="615" t="s">
        <v>670</v>
      </c>
    </row>
    <row r="17" spans="2:22" ht="27.6">
      <c r="B17" s="618" t="s">
        <v>675</v>
      </c>
      <c r="C17" s="619" t="s">
        <v>676</v>
      </c>
    </row>
    <row r="18" spans="2:22" ht="66">
      <c r="B18" s="620" t="s">
        <v>681</v>
      </c>
      <c r="C18" s="621" t="s">
        <v>682</v>
      </c>
    </row>
    <row r="19" spans="2:22" ht="13.2"/>
    <row r="20" spans="2:22" ht="13.8" thickBot="1"/>
    <row r="21" spans="2:22" ht="26.25" customHeight="1" thickBot="1">
      <c r="B21" s="566" t="s">
        <v>693</v>
      </c>
      <c r="C21" s="567"/>
      <c r="D21" s="568"/>
      <c r="E21" s="569" t="s">
        <v>640</v>
      </c>
      <c r="F21" s="569"/>
      <c r="G21" s="569"/>
      <c r="H21" s="569"/>
      <c r="I21" s="569"/>
      <c r="J21" s="569"/>
      <c r="K21" s="570"/>
      <c r="L21" s="571" t="s">
        <v>641</v>
      </c>
      <c r="M21" s="570"/>
      <c r="N21" s="572" t="s">
        <v>343</v>
      </c>
      <c r="O21" s="572"/>
      <c r="P21" s="572"/>
      <c r="Q21" s="572"/>
      <c r="R21" s="571" t="s">
        <v>642</v>
      </c>
      <c r="S21" s="570"/>
    </row>
    <row r="22" spans="2:22" ht="45" customHeight="1" thickBot="1">
      <c r="B22" s="623" t="s">
        <v>367</v>
      </c>
      <c r="C22" s="623" t="s">
        <v>643</v>
      </c>
      <c r="D22" s="623" t="s">
        <v>644</v>
      </c>
      <c r="E22" s="574" t="s">
        <v>645</v>
      </c>
      <c r="F22" s="575" t="s">
        <v>646</v>
      </c>
      <c r="G22" s="575" t="s">
        <v>647</v>
      </c>
      <c r="H22" s="575" t="s">
        <v>648</v>
      </c>
      <c r="I22" s="575" t="s">
        <v>649</v>
      </c>
      <c r="J22" s="575" t="s">
        <v>650</v>
      </c>
      <c r="K22" s="577" t="s">
        <v>651</v>
      </c>
      <c r="L22" s="624" t="s">
        <v>652</v>
      </c>
      <c r="M22" s="625" t="s">
        <v>242</v>
      </c>
      <c r="N22" s="579" t="s">
        <v>345</v>
      </c>
      <c r="O22" s="580" t="s">
        <v>653</v>
      </c>
      <c r="P22" s="580" t="s">
        <v>654</v>
      </c>
      <c r="Q22" s="581" t="s">
        <v>655</v>
      </c>
      <c r="R22" s="582" t="s">
        <v>656</v>
      </c>
      <c r="S22" s="582" t="s">
        <v>657</v>
      </c>
    </row>
    <row r="23" spans="2:22" ht="44.25" customHeight="1">
      <c r="B23" s="626" t="s">
        <v>45</v>
      </c>
      <c r="C23" s="627" t="s">
        <v>332</v>
      </c>
      <c r="D23" s="628" t="s">
        <v>27</v>
      </c>
      <c r="E23" s="607" t="s">
        <v>658</v>
      </c>
      <c r="F23" s="608" t="s">
        <v>333</v>
      </c>
      <c r="G23" s="608">
        <v>1</v>
      </c>
      <c r="H23" s="609">
        <v>46142</v>
      </c>
      <c r="I23" s="610"/>
      <c r="J23" s="629" t="s">
        <v>661</v>
      </c>
      <c r="K23" s="628" t="s">
        <v>659</v>
      </c>
      <c r="L23" s="613" t="s">
        <v>666</v>
      </c>
      <c r="M23" s="591" t="s">
        <v>694</v>
      </c>
      <c r="N23" s="630" t="s">
        <v>659</v>
      </c>
      <c r="O23" s="610" t="s">
        <v>659</v>
      </c>
      <c r="P23" s="610" t="s">
        <v>659</v>
      </c>
      <c r="Q23" s="610" t="s">
        <v>659</v>
      </c>
      <c r="R23" s="610" t="s">
        <v>346</v>
      </c>
      <c r="S23" s="610" t="s">
        <v>346</v>
      </c>
    </row>
    <row r="24" spans="2:22" ht="44.25" hidden="1" customHeight="1">
      <c r="B24" s="626" t="s">
        <v>45</v>
      </c>
      <c r="C24" s="627" t="s">
        <v>695</v>
      </c>
      <c r="D24" s="631" t="s">
        <v>289</v>
      </c>
      <c r="E24" s="607" t="s">
        <v>658</v>
      </c>
      <c r="F24" s="608" t="s">
        <v>339</v>
      </c>
      <c r="G24" s="606">
        <v>19</v>
      </c>
      <c r="H24" s="632">
        <v>46691</v>
      </c>
      <c r="I24" s="606" t="s">
        <v>340</v>
      </c>
      <c r="J24" s="585" t="s">
        <v>696</v>
      </c>
      <c r="K24" s="628" t="s">
        <v>346</v>
      </c>
      <c r="L24" s="591" t="s">
        <v>659</v>
      </c>
      <c r="M24" s="605" t="s">
        <v>697</v>
      </c>
      <c r="N24" s="630" t="s">
        <v>659</v>
      </c>
      <c r="O24" s="610" t="s">
        <v>659</v>
      </c>
      <c r="P24" s="610" t="s">
        <v>659</v>
      </c>
      <c r="Q24" s="610" t="s">
        <v>659</v>
      </c>
      <c r="R24" s="610" t="s">
        <v>659</v>
      </c>
      <c r="S24" s="610" t="s">
        <v>346</v>
      </c>
    </row>
    <row r="25" spans="2:22" ht="44.25" customHeight="1">
      <c r="B25" s="626" t="s">
        <v>55</v>
      </c>
      <c r="C25" s="627" t="s">
        <v>698</v>
      </c>
      <c r="D25" s="628" t="s">
        <v>27</v>
      </c>
      <c r="E25" s="633" t="s">
        <v>658</v>
      </c>
      <c r="F25" s="608" t="s">
        <v>333</v>
      </c>
      <c r="G25" s="608">
        <v>1</v>
      </c>
      <c r="H25" s="609">
        <v>46142</v>
      </c>
      <c r="I25" s="610"/>
      <c r="J25" s="585" t="s">
        <v>661</v>
      </c>
      <c r="K25" s="628" t="s">
        <v>659</v>
      </c>
      <c r="L25" s="613" t="s">
        <v>666</v>
      </c>
      <c r="M25" s="591" t="s">
        <v>699</v>
      </c>
      <c r="N25" s="630" t="s">
        <v>659</v>
      </c>
      <c r="O25" s="630" t="s">
        <v>659</v>
      </c>
      <c r="P25" s="610" t="s">
        <v>659</v>
      </c>
      <c r="Q25" s="610" t="s">
        <v>659</v>
      </c>
      <c r="R25" s="630" t="s">
        <v>700</v>
      </c>
      <c r="S25" s="610" t="s">
        <v>346</v>
      </c>
      <c r="U25" s="614" t="s">
        <v>669</v>
      </c>
      <c r="V25" s="615" t="s">
        <v>670</v>
      </c>
    </row>
    <row r="26" spans="2:22" ht="44.25" customHeight="1">
      <c r="B26" s="626" t="s">
        <v>55</v>
      </c>
      <c r="C26" s="627" t="s">
        <v>701</v>
      </c>
      <c r="D26" s="628" t="s">
        <v>27</v>
      </c>
      <c r="E26" s="633" t="s">
        <v>658</v>
      </c>
      <c r="F26" s="608" t="s">
        <v>333</v>
      </c>
      <c r="G26" s="608">
        <v>1</v>
      </c>
      <c r="H26" s="609">
        <v>46142</v>
      </c>
      <c r="I26" s="610"/>
      <c r="J26" s="634" t="s">
        <v>661</v>
      </c>
      <c r="K26" s="628" t="s">
        <v>659</v>
      </c>
      <c r="L26" s="613" t="s">
        <v>666</v>
      </c>
      <c r="M26" s="591" t="s">
        <v>699</v>
      </c>
      <c r="N26" s="630" t="s">
        <v>346</v>
      </c>
      <c r="O26" s="630" t="s">
        <v>659</v>
      </c>
      <c r="P26" s="610" t="s">
        <v>659</v>
      </c>
      <c r="Q26" s="610" t="s">
        <v>659</v>
      </c>
      <c r="R26" s="630" t="s">
        <v>700</v>
      </c>
      <c r="S26" s="610" t="s">
        <v>346</v>
      </c>
      <c r="U26" s="618" t="s">
        <v>675</v>
      </c>
      <c r="V26" s="619" t="s">
        <v>676</v>
      </c>
    </row>
    <row r="27" spans="2:22" ht="44.25" customHeight="1">
      <c r="B27" s="626" t="s">
        <v>45</v>
      </c>
      <c r="C27" s="627" t="s">
        <v>702</v>
      </c>
      <c r="D27" s="628" t="s">
        <v>27</v>
      </c>
      <c r="E27" s="607" t="s">
        <v>658</v>
      </c>
      <c r="F27" s="608" t="s">
        <v>333</v>
      </c>
      <c r="G27" s="608">
        <v>1</v>
      </c>
      <c r="H27" s="609">
        <v>46142</v>
      </c>
      <c r="I27" s="610"/>
      <c r="J27" s="634" t="s">
        <v>661</v>
      </c>
      <c r="K27" s="628" t="s">
        <v>659</v>
      </c>
      <c r="L27" s="613" t="s">
        <v>666</v>
      </c>
      <c r="M27" s="591" t="s">
        <v>691</v>
      </c>
      <c r="N27" s="630" t="s">
        <v>346</v>
      </c>
      <c r="O27" s="610" t="s">
        <v>346</v>
      </c>
      <c r="P27" s="610" t="s">
        <v>346</v>
      </c>
      <c r="Q27" s="610" t="s">
        <v>659</v>
      </c>
      <c r="R27" s="610" t="s">
        <v>346</v>
      </c>
      <c r="S27" s="610" t="s">
        <v>659</v>
      </c>
      <c r="U27" s="620" t="s">
        <v>681</v>
      </c>
      <c r="V27" s="621" t="s">
        <v>682</v>
      </c>
    </row>
    <row r="28" spans="2:22" ht="44.25" customHeight="1">
      <c r="B28" s="626" t="s">
        <v>45</v>
      </c>
      <c r="C28" s="627" t="s">
        <v>703</v>
      </c>
      <c r="D28" s="631" t="s">
        <v>289</v>
      </c>
      <c r="E28" s="607" t="s">
        <v>658</v>
      </c>
      <c r="F28" s="608" t="s">
        <v>333</v>
      </c>
      <c r="G28" s="608">
        <v>4</v>
      </c>
      <c r="H28" s="609">
        <v>46234</v>
      </c>
      <c r="I28" s="635" t="s">
        <v>704</v>
      </c>
      <c r="J28" s="636" t="s">
        <v>705</v>
      </c>
      <c r="K28" s="628" t="s">
        <v>346</v>
      </c>
      <c r="L28" s="613" t="s">
        <v>666</v>
      </c>
      <c r="M28" s="605" t="s">
        <v>706</v>
      </c>
      <c r="N28" s="630" t="s">
        <v>659</v>
      </c>
      <c r="O28" s="630" t="s">
        <v>659</v>
      </c>
      <c r="P28" s="610" t="s">
        <v>659</v>
      </c>
      <c r="Q28" s="610" t="s">
        <v>659</v>
      </c>
      <c r="R28" s="610" t="s">
        <v>346</v>
      </c>
      <c r="S28" s="610" t="s">
        <v>346</v>
      </c>
    </row>
    <row r="29" spans="2:22" ht="13.2"/>
    <row r="30" spans="2:22" ht="57.6">
      <c r="B30" s="614" t="s">
        <v>669</v>
      </c>
      <c r="C30" s="615" t="s">
        <v>670</v>
      </c>
    </row>
    <row r="31" spans="2:22" ht="27.6">
      <c r="B31" s="618" t="s">
        <v>675</v>
      </c>
      <c r="C31" s="619" t="s">
        <v>676</v>
      </c>
    </row>
    <row r="32" spans="2:22" ht="66">
      <c r="B32" s="620" t="s">
        <v>681</v>
      </c>
      <c r="C32" s="621" t="s">
        <v>682</v>
      </c>
    </row>
    <row r="33" spans="2:18" ht="13.2"/>
    <row r="34" spans="2:18" ht="13.2">
      <c r="F34" s="637"/>
    </row>
    <row r="35" spans="2:18" ht="15" customHeight="1" thickBot="1">
      <c r="B35" s="638" t="s">
        <v>707</v>
      </c>
      <c r="C35" s="638"/>
      <c r="D35" s="639"/>
      <c r="E35" s="639"/>
      <c r="F35" s="637"/>
      <c r="H35" s="640" t="s">
        <v>708</v>
      </c>
      <c r="I35" s="640"/>
    </row>
    <row r="36" spans="2:18" ht="41.4">
      <c r="B36" s="641" t="s">
        <v>331</v>
      </c>
      <c r="C36" s="641" t="s">
        <v>0</v>
      </c>
      <c r="D36" s="641" t="s">
        <v>344</v>
      </c>
      <c r="E36" s="641" t="s">
        <v>25</v>
      </c>
      <c r="F36" s="641" t="s">
        <v>709</v>
      </c>
      <c r="H36" s="642" t="s">
        <v>331</v>
      </c>
      <c r="I36" s="643" t="s">
        <v>0</v>
      </c>
      <c r="J36" s="643" t="s">
        <v>344</v>
      </c>
      <c r="K36" s="644" t="s">
        <v>25</v>
      </c>
      <c r="L36" s="644" t="s">
        <v>347</v>
      </c>
      <c r="M36" s="645" t="s">
        <v>710</v>
      </c>
      <c r="O36" s="646" t="s">
        <v>357</v>
      </c>
      <c r="P36" s="647"/>
      <c r="Q36" s="647"/>
      <c r="R36" s="648"/>
    </row>
    <row r="37" spans="2:18" thickBot="1">
      <c r="B37" s="649" t="s">
        <v>14</v>
      </c>
      <c r="C37" s="649" t="s">
        <v>348</v>
      </c>
      <c r="D37" s="649" t="s">
        <v>351</v>
      </c>
      <c r="E37" s="649" t="s">
        <v>27</v>
      </c>
      <c r="F37" s="650">
        <v>1000000</v>
      </c>
      <c r="H37" s="649" t="s">
        <v>14</v>
      </c>
      <c r="I37" s="649" t="s">
        <v>348</v>
      </c>
      <c r="J37" s="649" t="s">
        <v>349</v>
      </c>
      <c r="K37" s="649" t="s">
        <v>27</v>
      </c>
      <c r="L37" s="651">
        <v>640000</v>
      </c>
      <c r="M37" s="651">
        <f>L37*6</f>
        <v>3840000</v>
      </c>
      <c r="O37" s="652" t="s">
        <v>358</v>
      </c>
      <c r="P37" s="653"/>
      <c r="Q37" s="653"/>
      <c r="R37" s="654"/>
    </row>
    <row r="38" spans="2:18" ht="14.4">
      <c r="B38" s="649" t="s">
        <v>14</v>
      </c>
      <c r="C38" s="649" t="s">
        <v>348</v>
      </c>
      <c r="D38" s="649" t="s">
        <v>349</v>
      </c>
      <c r="E38" s="649" t="s">
        <v>27</v>
      </c>
      <c r="F38" s="650">
        <v>1200000</v>
      </c>
      <c r="H38" s="649" t="s">
        <v>14</v>
      </c>
      <c r="I38" s="649" t="s">
        <v>348</v>
      </c>
      <c r="J38" s="649" t="s">
        <v>350</v>
      </c>
      <c r="K38" s="649" t="s">
        <v>27</v>
      </c>
      <c r="L38" s="651">
        <v>640000</v>
      </c>
      <c r="M38" s="651">
        <f t="shared" ref="M38:M45" si="0">L38*6</f>
        <v>3840000</v>
      </c>
      <c r="O38" s="655" t="s">
        <v>711</v>
      </c>
      <c r="P38" s="656"/>
      <c r="Q38" s="656"/>
      <c r="R38" s="657"/>
    </row>
    <row r="39" spans="2:18" ht="15" customHeight="1">
      <c r="B39" s="649" t="s">
        <v>14</v>
      </c>
      <c r="C39" s="649" t="s">
        <v>348</v>
      </c>
      <c r="D39" s="649" t="s">
        <v>712</v>
      </c>
      <c r="E39" s="649" t="s">
        <v>27</v>
      </c>
      <c r="F39" s="650">
        <v>800000</v>
      </c>
      <c r="H39" s="649" t="s">
        <v>14</v>
      </c>
      <c r="I39" s="649" t="s">
        <v>348</v>
      </c>
      <c r="J39" s="649" t="s">
        <v>351</v>
      </c>
      <c r="K39" s="649" t="s">
        <v>27</v>
      </c>
      <c r="L39" s="651">
        <v>620000</v>
      </c>
      <c r="M39" s="651">
        <f t="shared" si="0"/>
        <v>3720000</v>
      </c>
      <c r="O39" s="658" t="s">
        <v>359</v>
      </c>
      <c r="P39" s="659"/>
      <c r="Q39" s="660" t="s">
        <v>360</v>
      </c>
      <c r="R39" s="661"/>
    </row>
    <row r="40" spans="2:18" ht="13.8">
      <c r="B40" s="649" t="s">
        <v>352</v>
      </c>
      <c r="C40" s="649" t="s">
        <v>45</v>
      </c>
      <c r="D40" s="649" t="s">
        <v>332</v>
      </c>
      <c r="E40" s="649" t="s">
        <v>27</v>
      </c>
      <c r="F40" s="650">
        <v>1200000</v>
      </c>
      <c r="H40" s="649" t="s">
        <v>352</v>
      </c>
      <c r="I40" s="649" t="s">
        <v>45</v>
      </c>
      <c r="J40" s="649" t="s">
        <v>713</v>
      </c>
      <c r="K40" s="649" t="s">
        <v>27</v>
      </c>
      <c r="L40" s="651">
        <v>450000</v>
      </c>
      <c r="M40" s="651">
        <f t="shared" si="0"/>
        <v>2700000</v>
      </c>
      <c r="O40" s="658"/>
      <c r="P40" s="659"/>
      <c r="Q40" s="660"/>
      <c r="R40" s="661"/>
    </row>
    <row r="41" spans="2:18" ht="14.4">
      <c r="B41" s="649" t="s">
        <v>352</v>
      </c>
      <c r="C41" s="649" t="s">
        <v>45</v>
      </c>
      <c r="D41" s="649" t="s">
        <v>714</v>
      </c>
      <c r="E41" s="649" t="s">
        <v>27</v>
      </c>
      <c r="F41" s="650">
        <v>1500000</v>
      </c>
      <c r="H41" s="649" t="s">
        <v>352</v>
      </c>
      <c r="I41" s="649" t="s">
        <v>45</v>
      </c>
      <c r="J41" s="649" t="s">
        <v>332</v>
      </c>
      <c r="K41" s="649" t="s">
        <v>27</v>
      </c>
      <c r="L41" s="651">
        <v>600000</v>
      </c>
      <c r="M41" s="651">
        <f t="shared" si="0"/>
        <v>3600000</v>
      </c>
      <c r="O41" s="662" t="s">
        <v>715</v>
      </c>
      <c r="P41" s="663"/>
      <c r="Q41" s="663"/>
      <c r="R41" s="664"/>
    </row>
    <row r="42" spans="2:18" ht="14.4">
      <c r="B42" s="649" t="s">
        <v>352</v>
      </c>
      <c r="C42" s="649" t="s">
        <v>45</v>
      </c>
      <c r="D42" s="649" t="s">
        <v>716</v>
      </c>
      <c r="E42" s="649" t="s">
        <v>27</v>
      </c>
      <c r="F42" s="650">
        <v>800000</v>
      </c>
      <c r="H42" s="649" t="s">
        <v>352</v>
      </c>
      <c r="I42" s="649" t="s">
        <v>353</v>
      </c>
      <c r="J42" s="649" t="s">
        <v>717</v>
      </c>
      <c r="K42" s="649" t="s">
        <v>27</v>
      </c>
      <c r="L42" s="651">
        <v>1000000</v>
      </c>
      <c r="M42" s="651">
        <f t="shared" si="0"/>
        <v>6000000</v>
      </c>
      <c r="O42" s="662" t="s">
        <v>361</v>
      </c>
      <c r="P42" s="663"/>
      <c r="Q42" s="663"/>
      <c r="R42" s="664"/>
    </row>
    <row r="43" spans="2:18" thickBot="1">
      <c r="B43" s="649" t="s">
        <v>718</v>
      </c>
      <c r="C43" s="649" t="s">
        <v>10</v>
      </c>
      <c r="D43" s="649" t="s">
        <v>338</v>
      </c>
      <c r="E43" s="649" t="s">
        <v>27</v>
      </c>
      <c r="F43" s="650">
        <v>1200000</v>
      </c>
      <c r="H43" s="649" t="s">
        <v>718</v>
      </c>
      <c r="I43" s="649" t="s">
        <v>10</v>
      </c>
      <c r="J43" s="649" t="s">
        <v>338</v>
      </c>
      <c r="K43" s="649" t="s">
        <v>27</v>
      </c>
      <c r="L43" s="651">
        <v>800000</v>
      </c>
      <c r="M43" s="651">
        <f t="shared" si="0"/>
        <v>4800000</v>
      </c>
      <c r="O43" s="665"/>
      <c r="P43" s="666" t="s">
        <v>362</v>
      </c>
      <c r="Q43" s="666"/>
      <c r="R43" s="667"/>
    </row>
    <row r="44" spans="2:18" ht="14.4" thickBot="1">
      <c r="B44" s="649" t="s">
        <v>718</v>
      </c>
      <c r="C44" s="649" t="s">
        <v>3</v>
      </c>
      <c r="D44" s="649" t="s">
        <v>363</v>
      </c>
      <c r="E44" s="649" t="s">
        <v>27</v>
      </c>
      <c r="F44" s="650">
        <v>1000000</v>
      </c>
      <c r="H44" s="649" t="s">
        <v>718</v>
      </c>
      <c r="I44" s="649" t="s">
        <v>6</v>
      </c>
      <c r="J44" s="649" t="s">
        <v>342</v>
      </c>
      <c r="K44" s="649" t="s">
        <v>289</v>
      </c>
      <c r="L44" s="651">
        <v>750000</v>
      </c>
      <c r="M44" s="651">
        <f t="shared" si="0"/>
        <v>4500000</v>
      </c>
    </row>
    <row r="45" spans="2:18" ht="13.8">
      <c r="B45" s="649" t="s">
        <v>718</v>
      </c>
      <c r="C45" s="649" t="s">
        <v>3</v>
      </c>
      <c r="D45" s="649" t="s">
        <v>335</v>
      </c>
      <c r="E45" s="649" t="s">
        <v>27</v>
      </c>
      <c r="F45" s="650">
        <v>1000000</v>
      </c>
      <c r="H45" s="649" t="s">
        <v>718</v>
      </c>
      <c r="I45" s="649" t="s">
        <v>7</v>
      </c>
      <c r="J45" s="649" t="s">
        <v>354</v>
      </c>
      <c r="K45" s="649" t="s">
        <v>27</v>
      </c>
      <c r="L45" s="651">
        <v>600000</v>
      </c>
      <c r="M45" s="651">
        <f t="shared" si="0"/>
        <v>3600000</v>
      </c>
      <c r="O45" s="668" t="s">
        <v>364</v>
      </c>
      <c r="P45" s="669"/>
      <c r="Q45" s="669"/>
      <c r="R45" s="670"/>
    </row>
    <row r="46" spans="2:18" thickBot="1">
      <c r="B46" s="649" t="s">
        <v>718</v>
      </c>
      <c r="C46" s="649" t="s">
        <v>7</v>
      </c>
      <c r="D46" s="649" t="s">
        <v>341</v>
      </c>
      <c r="E46" s="649" t="s">
        <v>27</v>
      </c>
      <c r="F46" s="650">
        <v>1200000</v>
      </c>
      <c r="H46" s="649" t="s">
        <v>718</v>
      </c>
      <c r="I46" s="649" t="s">
        <v>3</v>
      </c>
      <c r="J46" s="649" t="s">
        <v>355</v>
      </c>
      <c r="K46" s="649" t="s">
        <v>27</v>
      </c>
      <c r="L46" s="651">
        <v>490000</v>
      </c>
      <c r="M46" s="651">
        <f>L46*6</f>
        <v>2940000</v>
      </c>
      <c r="O46" s="671" t="s">
        <v>719</v>
      </c>
      <c r="P46" s="672"/>
      <c r="Q46" s="672"/>
      <c r="R46" s="673"/>
    </row>
    <row r="47" spans="2:18" ht="14.4" thickBot="1">
      <c r="B47" s="649" t="s">
        <v>718</v>
      </c>
      <c r="C47" s="649" t="s">
        <v>5</v>
      </c>
      <c r="D47" s="649" t="s">
        <v>334</v>
      </c>
      <c r="E47" s="649" t="s">
        <v>27</v>
      </c>
      <c r="F47" s="650">
        <v>1000000</v>
      </c>
      <c r="H47" s="649" t="s">
        <v>718</v>
      </c>
      <c r="I47" s="649" t="s">
        <v>3</v>
      </c>
      <c r="J47" s="649" t="s">
        <v>335</v>
      </c>
      <c r="K47" s="649" t="s">
        <v>27</v>
      </c>
      <c r="L47" s="651">
        <v>420000</v>
      </c>
      <c r="M47" s="651">
        <f>L47*6</f>
        <v>2520000</v>
      </c>
      <c r="P47" s="674"/>
    </row>
    <row r="48" spans="2:18" ht="13.8">
      <c r="B48" s="649" t="s">
        <v>718</v>
      </c>
      <c r="C48" s="649" t="s">
        <v>3</v>
      </c>
      <c r="D48" s="649" t="s">
        <v>356</v>
      </c>
      <c r="E48" s="649" t="s">
        <v>27</v>
      </c>
      <c r="F48" s="650">
        <v>1000000</v>
      </c>
      <c r="H48" s="649" t="s">
        <v>718</v>
      </c>
      <c r="I48" s="649" t="s">
        <v>3</v>
      </c>
      <c r="J48" s="649" t="s">
        <v>356</v>
      </c>
      <c r="K48" s="649" t="s">
        <v>27</v>
      </c>
      <c r="L48" s="651">
        <v>650000</v>
      </c>
      <c r="M48" s="651">
        <f>L48*6</f>
        <v>3900000</v>
      </c>
      <c r="O48" s="675" t="s">
        <v>720</v>
      </c>
      <c r="P48" s="676"/>
      <c r="Q48" s="676"/>
      <c r="R48" s="677"/>
    </row>
    <row r="49" spans="1:18" ht="13.8">
      <c r="B49" s="649" t="s">
        <v>718</v>
      </c>
      <c r="C49" s="649" t="s">
        <v>3</v>
      </c>
      <c r="D49" s="649" t="s">
        <v>336</v>
      </c>
      <c r="E49" s="649" t="s">
        <v>27</v>
      </c>
      <c r="F49" s="650">
        <v>1000000</v>
      </c>
      <c r="H49" s="649" t="s">
        <v>718</v>
      </c>
      <c r="I49" s="649" t="s">
        <v>3</v>
      </c>
      <c r="J49" s="649" t="s">
        <v>336</v>
      </c>
      <c r="K49" s="649" t="s">
        <v>27</v>
      </c>
      <c r="L49" s="651">
        <v>670000</v>
      </c>
      <c r="M49" s="651">
        <f>L49*6</f>
        <v>4020000</v>
      </c>
      <c r="O49" s="535" t="s">
        <v>251</v>
      </c>
      <c r="P49" t="s">
        <v>365</v>
      </c>
      <c r="R49" s="678"/>
    </row>
    <row r="50" spans="1:18" ht="13.8">
      <c r="B50" s="649" t="s">
        <v>718</v>
      </c>
      <c r="C50" s="649" t="s">
        <v>6</v>
      </c>
      <c r="D50" s="649" t="s">
        <v>342</v>
      </c>
      <c r="E50" s="649" t="s">
        <v>289</v>
      </c>
      <c r="F50" s="650">
        <v>1200000</v>
      </c>
      <c r="O50" s="535"/>
      <c r="R50" s="678"/>
    </row>
    <row r="51" spans="1:18" ht="13.2">
      <c r="F51" s="637"/>
      <c r="O51" s="535"/>
      <c r="P51" s="679" t="s">
        <v>366</v>
      </c>
      <c r="Q51" s="679"/>
      <c r="R51" s="678"/>
    </row>
    <row r="52" spans="1:18" ht="41.4">
      <c r="A52" s="680" t="s">
        <v>721</v>
      </c>
      <c r="B52" s="681" t="s">
        <v>367</v>
      </c>
      <c r="C52" s="681" t="s">
        <v>70</v>
      </c>
      <c r="D52" s="682" t="s">
        <v>722</v>
      </c>
      <c r="E52" s="681" t="s">
        <v>368</v>
      </c>
      <c r="F52" s="683" t="s">
        <v>369</v>
      </c>
      <c r="G52" s="684"/>
      <c r="H52" s="685" t="s">
        <v>723</v>
      </c>
      <c r="I52" s="686" t="s">
        <v>9</v>
      </c>
      <c r="J52" s="686" t="s">
        <v>28</v>
      </c>
      <c r="K52" s="687"/>
      <c r="L52" s="688" t="s">
        <v>724</v>
      </c>
      <c r="M52" s="688" t="s">
        <v>9</v>
      </c>
      <c r="N52" s="688" t="s">
        <v>28</v>
      </c>
    </row>
    <row r="53" spans="1:18" ht="13.8" hidden="1">
      <c r="A53" s="689" t="s">
        <v>725</v>
      </c>
      <c r="B53" s="690" t="s">
        <v>348</v>
      </c>
      <c r="C53" s="691" t="s">
        <v>370</v>
      </c>
      <c r="D53" s="692" t="s">
        <v>726</v>
      </c>
      <c r="E53" s="693" t="s">
        <v>49</v>
      </c>
      <c r="F53" s="694">
        <v>43.792916666666635</v>
      </c>
      <c r="G53" s="695"/>
      <c r="H53" s="696">
        <v>450000</v>
      </c>
      <c r="I53" s="697">
        <v>50000</v>
      </c>
      <c r="J53" s="698">
        <v>20000</v>
      </c>
      <c r="K53" s="699"/>
      <c r="L53" s="700"/>
      <c r="M53" s="700"/>
      <c r="N53" s="700"/>
    </row>
    <row r="54" spans="1:18" ht="13.8" hidden="1">
      <c r="A54" s="701"/>
      <c r="B54" s="702"/>
      <c r="C54" s="703"/>
      <c r="D54" s="704"/>
      <c r="E54" s="705" t="s">
        <v>371</v>
      </c>
      <c r="F54" s="706">
        <v>47.245588235294107</v>
      </c>
      <c r="G54" s="695"/>
      <c r="H54" s="707">
        <v>550000</v>
      </c>
      <c r="I54" s="708">
        <v>50000</v>
      </c>
      <c r="J54" s="709">
        <v>20000</v>
      </c>
      <c r="K54" s="699"/>
      <c r="L54" s="700"/>
      <c r="M54" s="700"/>
      <c r="N54" s="700"/>
    </row>
    <row r="55" spans="1:18" ht="13.8" hidden="1">
      <c r="A55" s="701"/>
      <c r="B55" s="702"/>
      <c r="C55" s="703"/>
      <c r="D55" s="704"/>
      <c r="E55" s="705" t="s">
        <v>43</v>
      </c>
      <c r="F55" s="706">
        <v>50.83842105263156</v>
      </c>
      <c r="G55" s="695"/>
      <c r="H55" s="710">
        <v>580000</v>
      </c>
      <c r="I55" s="708">
        <v>50000</v>
      </c>
      <c r="J55" s="709">
        <v>20000</v>
      </c>
      <c r="K55" s="699"/>
      <c r="L55" s="700"/>
      <c r="M55" s="700"/>
      <c r="N55" s="700"/>
    </row>
    <row r="56" spans="1:18" ht="13.8" hidden="1">
      <c r="A56" s="701"/>
      <c r="B56" s="702"/>
      <c r="C56" s="711"/>
      <c r="D56" s="712"/>
      <c r="E56" s="713" t="s">
        <v>372</v>
      </c>
      <c r="F56" s="714">
        <v>56.040689655172407</v>
      </c>
      <c r="G56" s="695"/>
      <c r="H56" s="715">
        <v>650000</v>
      </c>
      <c r="I56" s="716">
        <v>50000</v>
      </c>
      <c r="J56" s="717">
        <v>20000</v>
      </c>
      <c r="K56" s="699"/>
      <c r="L56" s="700"/>
      <c r="M56" s="700"/>
      <c r="N56" s="700"/>
    </row>
    <row r="57" spans="1:18" ht="13.8" hidden="1">
      <c r="A57" s="701"/>
      <c r="B57" s="702"/>
      <c r="C57" s="691" t="s">
        <v>373</v>
      </c>
      <c r="D57" s="692" t="s">
        <v>727</v>
      </c>
      <c r="E57" s="693" t="s">
        <v>46</v>
      </c>
      <c r="F57" s="694">
        <v>34.335116279069773</v>
      </c>
      <c r="G57" s="695"/>
      <c r="H57" s="718">
        <v>450000</v>
      </c>
      <c r="I57" s="697">
        <v>50000</v>
      </c>
      <c r="J57" s="698">
        <v>20000</v>
      </c>
      <c r="K57" s="699"/>
      <c r="L57" s="700"/>
      <c r="M57" s="700"/>
      <c r="N57" s="700"/>
    </row>
    <row r="58" spans="1:18" ht="13.8" hidden="1">
      <c r="A58" s="701"/>
      <c r="B58" s="702"/>
      <c r="C58" s="703"/>
      <c r="D58" s="704"/>
      <c r="E58" s="705" t="s">
        <v>49</v>
      </c>
      <c r="F58" s="706">
        <v>45.639999999999993</v>
      </c>
      <c r="G58" s="695"/>
      <c r="H58" s="710">
        <v>550000</v>
      </c>
      <c r="I58" s="708">
        <v>50000</v>
      </c>
      <c r="J58" s="709">
        <v>20000</v>
      </c>
      <c r="K58" s="699"/>
      <c r="L58" s="700"/>
      <c r="M58" s="700"/>
      <c r="N58" s="700"/>
    </row>
    <row r="59" spans="1:18" ht="13.8" hidden="1">
      <c r="A59" s="701"/>
      <c r="B59" s="702"/>
      <c r="C59" s="703"/>
      <c r="D59" s="704"/>
      <c r="E59" s="705" t="s">
        <v>43</v>
      </c>
      <c r="F59" s="706">
        <v>53.151666666666671</v>
      </c>
      <c r="G59" s="695"/>
      <c r="H59" s="710">
        <v>580000</v>
      </c>
      <c r="I59" s="708">
        <v>50000</v>
      </c>
      <c r="J59" s="709">
        <v>20000</v>
      </c>
      <c r="K59" s="699"/>
      <c r="L59" s="700"/>
      <c r="M59" s="700"/>
      <c r="N59" s="700"/>
    </row>
    <row r="60" spans="1:18" ht="13.8" hidden="1">
      <c r="A60" s="701"/>
      <c r="B60" s="719"/>
      <c r="C60" s="711"/>
      <c r="D60" s="712"/>
      <c r="E60" s="713" t="s">
        <v>54</v>
      </c>
      <c r="F60" s="714">
        <v>55.188823529411764</v>
      </c>
      <c r="G60" s="695"/>
      <c r="H60" s="715">
        <v>600000</v>
      </c>
      <c r="I60" s="716">
        <v>50000</v>
      </c>
      <c r="J60" s="717">
        <v>20000</v>
      </c>
      <c r="K60" s="699"/>
      <c r="L60" s="700"/>
      <c r="M60" s="700"/>
      <c r="N60" s="700"/>
    </row>
    <row r="61" spans="1:18" ht="13.8" hidden="1">
      <c r="A61" s="701"/>
      <c r="B61" s="690" t="s">
        <v>24</v>
      </c>
      <c r="C61" s="691" t="s">
        <v>374</v>
      </c>
      <c r="D61" s="692" t="s">
        <v>728</v>
      </c>
      <c r="E61" s="693" t="s">
        <v>46</v>
      </c>
      <c r="F61" s="694">
        <v>35.612608695652177</v>
      </c>
      <c r="G61" s="695"/>
      <c r="H61" s="718">
        <v>410000</v>
      </c>
      <c r="I61" s="697">
        <v>50000</v>
      </c>
      <c r="J61" s="698">
        <v>20000</v>
      </c>
      <c r="K61" s="699"/>
      <c r="L61" s="700"/>
      <c r="M61" s="700"/>
      <c r="N61" s="700"/>
    </row>
    <row r="62" spans="1:18" ht="13.8" hidden="1">
      <c r="A62" s="701"/>
      <c r="B62" s="702"/>
      <c r="C62" s="703"/>
      <c r="D62" s="704"/>
      <c r="E62" s="705" t="s">
        <v>49</v>
      </c>
      <c r="F62" s="706">
        <v>44.293333333333329</v>
      </c>
      <c r="G62" s="695"/>
      <c r="H62" s="710">
        <v>450000</v>
      </c>
      <c r="I62" s="708">
        <v>50000</v>
      </c>
      <c r="J62" s="709">
        <v>20000</v>
      </c>
      <c r="K62" s="699"/>
      <c r="L62" s="700"/>
      <c r="M62" s="700"/>
      <c r="N62" s="700"/>
    </row>
    <row r="63" spans="1:18" ht="13.8" hidden="1">
      <c r="A63" s="701"/>
      <c r="B63" s="702"/>
      <c r="C63" s="703"/>
      <c r="D63" s="704"/>
      <c r="E63" s="705" t="s">
        <v>43</v>
      </c>
      <c r="F63" s="706">
        <v>50.727999999999994</v>
      </c>
      <c r="G63" s="695"/>
      <c r="H63" s="710">
        <v>500000</v>
      </c>
      <c r="I63" s="708">
        <v>50000</v>
      </c>
      <c r="J63" s="709">
        <v>20000</v>
      </c>
      <c r="K63" s="699"/>
      <c r="L63" s="700"/>
      <c r="M63" s="700"/>
      <c r="N63" s="700"/>
    </row>
    <row r="64" spans="1:18" ht="13.8" hidden="1">
      <c r="A64" s="701"/>
      <c r="B64" s="702"/>
      <c r="C64" s="711"/>
      <c r="D64" s="712"/>
      <c r="E64" s="713" t="s">
        <v>54</v>
      </c>
      <c r="F64" s="714">
        <v>53.89950000000001</v>
      </c>
      <c r="G64" s="695"/>
      <c r="H64" s="715">
        <v>500000</v>
      </c>
      <c r="I64" s="716">
        <v>50000</v>
      </c>
      <c r="J64" s="717">
        <v>20000</v>
      </c>
      <c r="K64" s="699"/>
      <c r="L64" s="700"/>
      <c r="M64" s="700"/>
      <c r="N64" s="700"/>
    </row>
    <row r="65" spans="1:19" ht="13.8" hidden="1">
      <c r="A65" s="701"/>
      <c r="B65" s="702"/>
      <c r="C65" s="691" t="s">
        <v>380</v>
      </c>
      <c r="D65" s="692" t="s">
        <v>729</v>
      </c>
      <c r="E65" s="693" t="s">
        <v>46</v>
      </c>
      <c r="F65" s="694">
        <v>38.582678571428573</v>
      </c>
      <c r="G65" s="695"/>
      <c r="H65" s="718">
        <v>440000</v>
      </c>
      <c r="I65" s="697">
        <v>60000</v>
      </c>
      <c r="J65" s="698">
        <v>20000</v>
      </c>
      <c r="K65" s="699"/>
      <c r="L65" s="700"/>
      <c r="M65" s="700"/>
      <c r="N65" s="700"/>
    </row>
    <row r="66" spans="1:19" ht="13.8" hidden="1">
      <c r="A66" s="701"/>
      <c r="B66" s="702"/>
      <c r="C66" s="703"/>
      <c r="D66" s="704"/>
      <c r="E66" s="705" t="s">
        <v>40</v>
      </c>
      <c r="F66" s="706">
        <v>57.896999999999998</v>
      </c>
      <c r="G66" s="695"/>
      <c r="H66" s="710">
        <v>540000</v>
      </c>
      <c r="I66" s="708">
        <v>60000</v>
      </c>
      <c r="J66" s="709">
        <v>20000</v>
      </c>
      <c r="K66" s="699"/>
      <c r="L66" s="700"/>
      <c r="M66" s="700"/>
      <c r="N66" s="700"/>
    </row>
    <row r="67" spans="1:19" ht="13.8" hidden="1">
      <c r="A67" s="701"/>
      <c r="B67" s="702"/>
      <c r="C67" s="703"/>
      <c r="D67" s="704"/>
      <c r="E67" s="705" t="s">
        <v>43</v>
      </c>
      <c r="F67" s="706">
        <v>52.295555555555573</v>
      </c>
      <c r="G67" s="695"/>
      <c r="H67" s="710">
        <v>540000</v>
      </c>
      <c r="I67" s="708">
        <v>60000</v>
      </c>
      <c r="J67" s="709">
        <v>20000</v>
      </c>
      <c r="K67" s="699"/>
      <c r="L67" s="700"/>
      <c r="M67" s="700"/>
      <c r="N67" s="700"/>
    </row>
    <row r="68" spans="1:19" ht="13.8" hidden="1">
      <c r="A68" s="701"/>
      <c r="B68" s="702"/>
      <c r="C68" s="703"/>
      <c r="D68" s="704"/>
      <c r="E68" s="705" t="s">
        <v>56</v>
      </c>
      <c r="F68" s="706">
        <v>76.095000000000013</v>
      </c>
      <c r="G68" s="695"/>
      <c r="H68" s="710">
        <v>590000</v>
      </c>
      <c r="I68" s="708">
        <v>60000</v>
      </c>
      <c r="J68" s="709">
        <v>20000</v>
      </c>
      <c r="K68" s="699"/>
      <c r="L68" s="700"/>
      <c r="M68" s="700"/>
      <c r="N68" s="700"/>
    </row>
    <row r="69" spans="1:19" ht="13.8" hidden="1">
      <c r="A69" s="701"/>
      <c r="B69" s="719"/>
      <c r="C69" s="711"/>
      <c r="D69" s="712"/>
      <c r="E69" s="713" t="s">
        <v>57</v>
      </c>
      <c r="F69" s="714">
        <v>75.184285714285679</v>
      </c>
      <c r="G69" s="695"/>
      <c r="H69" s="715">
        <v>590000</v>
      </c>
      <c r="I69" s="716">
        <v>60000</v>
      </c>
      <c r="J69" s="717">
        <v>20000</v>
      </c>
      <c r="K69" s="699"/>
      <c r="L69" s="700"/>
      <c r="M69" s="700"/>
      <c r="N69" s="700"/>
    </row>
    <row r="70" spans="1:19" ht="13.8" hidden="1">
      <c r="A70" s="701"/>
      <c r="B70" s="690" t="s">
        <v>15</v>
      </c>
      <c r="C70" s="691" t="s">
        <v>379</v>
      </c>
      <c r="D70" s="692" t="s">
        <v>730</v>
      </c>
      <c r="E70" s="693" t="s">
        <v>48</v>
      </c>
      <c r="F70" s="694">
        <v>51.371562499999996</v>
      </c>
      <c r="G70" s="695"/>
      <c r="H70" s="696">
        <v>360000</v>
      </c>
      <c r="I70" s="697">
        <v>40000</v>
      </c>
      <c r="J70" s="698">
        <v>10000</v>
      </c>
      <c r="K70" s="699"/>
      <c r="L70" s="700"/>
      <c r="M70" s="700"/>
      <c r="N70" s="700"/>
    </row>
    <row r="71" spans="1:19" ht="13.8" hidden="1">
      <c r="A71" s="701"/>
      <c r="B71" s="702"/>
      <c r="C71" s="703"/>
      <c r="D71" s="704"/>
      <c r="E71" s="705" t="s">
        <v>43</v>
      </c>
      <c r="F71" s="706"/>
      <c r="G71" s="695"/>
      <c r="H71" s="707">
        <v>380000</v>
      </c>
      <c r="I71" s="708">
        <v>45000</v>
      </c>
      <c r="J71" s="709">
        <v>15000</v>
      </c>
      <c r="K71" s="699"/>
      <c r="L71" s="700"/>
      <c r="M71" s="700"/>
      <c r="N71" s="700"/>
    </row>
    <row r="72" spans="1:19" ht="13.8" hidden="1">
      <c r="A72" s="720"/>
      <c r="B72" s="719"/>
      <c r="C72" s="711"/>
      <c r="D72" s="712"/>
      <c r="E72" s="713" t="s">
        <v>47</v>
      </c>
      <c r="F72" s="714">
        <v>57.572500000000005</v>
      </c>
      <c r="G72" s="695"/>
      <c r="H72" s="721">
        <v>400000</v>
      </c>
      <c r="I72" s="716">
        <v>50000</v>
      </c>
      <c r="J72" s="717">
        <v>20000</v>
      </c>
      <c r="K72" s="699"/>
      <c r="L72" s="700"/>
      <c r="M72" s="700"/>
      <c r="N72" s="700"/>
    </row>
    <row r="73" spans="1:19" ht="13.8">
      <c r="A73" s="689" t="s">
        <v>693</v>
      </c>
      <c r="B73" s="690" t="s">
        <v>45</v>
      </c>
      <c r="C73" s="691" t="s">
        <v>58</v>
      </c>
      <c r="D73" s="692" t="s">
        <v>731</v>
      </c>
      <c r="E73" s="693" t="s">
        <v>49</v>
      </c>
      <c r="F73" s="694">
        <v>45.51</v>
      </c>
      <c r="G73" s="695"/>
      <c r="H73" s="696">
        <v>400000</v>
      </c>
      <c r="I73" s="697">
        <v>50000</v>
      </c>
      <c r="J73" s="698">
        <v>20000</v>
      </c>
      <c r="K73" s="699"/>
      <c r="L73" s="722">
        <v>470000</v>
      </c>
      <c r="M73" s="723">
        <v>80000</v>
      </c>
      <c r="N73" s="724">
        <v>20000</v>
      </c>
    </row>
    <row r="74" spans="1:19" ht="13.8">
      <c r="A74" s="701"/>
      <c r="B74" s="702"/>
      <c r="C74" s="703"/>
      <c r="D74" s="704"/>
      <c r="E74" s="705" t="s">
        <v>43</v>
      </c>
      <c r="F74" s="706">
        <v>60.628600000000048</v>
      </c>
      <c r="G74" s="695"/>
      <c r="H74" s="707">
        <v>420000</v>
      </c>
      <c r="I74" s="708">
        <v>50000</v>
      </c>
      <c r="J74" s="709">
        <v>20000</v>
      </c>
      <c r="K74" s="699"/>
      <c r="L74" s="725">
        <v>500000</v>
      </c>
      <c r="M74" s="726">
        <v>80000</v>
      </c>
      <c r="N74" s="727">
        <v>20000</v>
      </c>
    </row>
    <row r="75" spans="1:19" ht="13.8">
      <c r="A75" s="701"/>
      <c r="B75" s="702"/>
      <c r="C75" s="711"/>
      <c r="D75" s="712"/>
      <c r="E75" s="713" t="s">
        <v>57</v>
      </c>
      <c r="F75" s="714">
        <v>78.195000000000007</v>
      </c>
      <c r="G75" s="695"/>
      <c r="H75" s="721">
        <v>500000</v>
      </c>
      <c r="I75" s="716">
        <v>50000</v>
      </c>
      <c r="J75" s="717">
        <v>20000</v>
      </c>
      <c r="K75" s="699"/>
      <c r="L75" s="728">
        <v>620000</v>
      </c>
      <c r="M75" s="729">
        <v>80000</v>
      </c>
      <c r="N75" s="730">
        <v>20000</v>
      </c>
      <c r="P75" s="731" t="s">
        <v>732</v>
      </c>
      <c r="Q75" s="732"/>
      <c r="R75" s="732"/>
      <c r="S75" s="732"/>
    </row>
    <row r="76" spans="1:19" ht="13.8">
      <c r="A76" s="701"/>
      <c r="B76" s="702"/>
      <c r="C76" s="691" t="s">
        <v>44</v>
      </c>
      <c r="D76" s="692" t="s">
        <v>733</v>
      </c>
      <c r="E76" s="693" t="s">
        <v>54</v>
      </c>
      <c r="F76" s="694">
        <v>53.99</v>
      </c>
      <c r="G76" s="695"/>
      <c r="H76" s="696">
        <v>450000</v>
      </c>
      <c r="I76" s="697">
        <v>50000</v>
      </c>
      <c r="J76" s="698">
        <v>20000</v>
      </c>
      <c r="K76" s="699"/>
      <c r="L76" s="733">
        <v>550000</v>
      </c>
      <c r="M76" s="723">
        <v>80000</v>
      </c>
      <c r="N76" s="724">
        <v>20000</v>
      </c>
      <c r="P76" s="732"/>
      <c r="Q76" s="732"/>
      <c r="R76" s="732"/>
      <c r="S76" s="732"/>
    </row>
    <row r="77" spans="1:19" ht="13.8">
      <c r="A77" s="701"/>
      <c r="B77" s="719"/>
      <c r="C77" s="711"/>
      <c r="D77" s="712"/>
      <c r="E77" s="713" t="s">
        <v>59</v>
      </c>
      <c r="F77" s="714">
        <v>67.069999999999993</v>
      </c>
      <c r="G77" s="695"/>
      <c r="H77" s="721">
        <v>480000</v>
      </c>
      <c r="I77" s="716">
        <v>50000</v>
      </c>
      <c r="J77" s="717">
        <v>20000</v>
      </c>
      <c r="K77" s="699"/>
      <c r="L77" s="734">
        <v>640000</v>
      </c>
      <c r="M77" s="729">
        <v>80000</v>
      </c>
      <c r="N77" s="730">
        <v>20000</v>
      </c>
      <c r="P77" s="732"/>
      <c r="Q77" s="732"/>
      <c r="R77" s="732"/>
      <c r="S77" s="732"/>
    </row>
    <row r="78" spans="1:19" ht="13.8">
      <c r="A78" s="701"/>
      <c r="B78" s="690" t="s">
        <v>353</v>
      </c>
      <c r="C78" s="691" t="s">
        <v>375</v>
      </c>
      <c r="D78" s="692" t="s">
        <v>734</v>
      </c>
      <c r="E78" s="693" t="s">
        <v>56</v>
      </c>
      <c r="F78" s="694">
        <v>109.24000000000001</v>
      </c>
      <c r="G78" s="695"/>
      <c r="H78" s="696">
        <v>700000</v>
      </c>
      <c r="I78" s="697">
        <v>50000</v>
      </c>
      <c r="J78" s="698">
        <v>20000</v>
      </c>
      <c r="K78" s="699"/>
      <c r="L78" s="733">
        <v>920000</v>
      </c>
      <c r="M78" s="723">
        <v>80000</v>
      </c>
      <c r="N78" s="724">
        <v>20000</v>
      </c>
      <c r="P78" s="732"/>
      <c r="Q78" s="732"/>
      <c r="R78" s="732"/>
      <c r="S78" s="732"/>
    </row>
    <row r="79" spans="1:19" ht="13.8">
      <c r="A79" s="701"/>
      <c r="B79" s="719"/>
      <c r="C79" s="711"/>
      <c r="D79" s="712"/>
      <c r="E79" s="713" t="s">
        <v>57</v>
      </c>
      <c r="F79" s="714">
        <v>90.65333333333335</v>
      </c>
      <c r="G79" s="695"/>
      <c r="H79" s="721">
        <v>650000</v>
      </c>
      <c r="I79" s="716">
        <v>50000</v>
      </c>
      <c r="J79" s="717">
        <v>20000</v>
      </c>
      <c r="K79" s="699"/>
      <c r="L79" s="734">
        <v>850000</v>
      </c>
      <c r="M79" s="729">
        <v>80000</v>
      </c>
      <c r="N79" s="730">
        <v>20000</v>
      </c>
      <c r="P79" s="732"/>
      <c r="Q79" s="732"/>
      <c r="R79" s="732"/>
      <c r="S79" s="732"/>
    </row>
    <row r="80" spans="1:19" ht="13.8">
      <c r="A80" s="701"/>
      <c r="B80" s="690" t="s">
        <v>17</v>
      </c>
      <c r="C80" s="691" t="s">
        <v>376</v>
      </c>
      <c r="D80" s="692" t="s">
        <v>735</v>
      </c>
      <c r="E80" s="693" t="s">
        <v>46</v>
      </c>
      <c r="F80" s="694">
        <v>37.22</v>
      </c>
      <c r="G80" s="695"/>
      <c r="H80" s="696">
        <v>310000</v>
      </c>
      <c r="I80" s="697">
        <v>50000</v>
      </c>
      <c r="J80" s="698">
        <v>20000</v>
      </c>
      <c r="K80" s="699"/>
      <c r="L80" s="733">
        <v>380000</v>
      </c>
      <c r="M80" s="723">
        <v>80000</v>
      </c>
      <c r="N80" s="724">
        <v>20000</v>
      </c>
      <c r="P80" s="732"/>
      <c r="Q80" s="732"/>
      <c r="R80" s="732"/>
      <c r="S80" s="732"/>
    </row>
    <row r="81" spans="1:19" ht="13.8">
      <c r="A81" s="701"/>
      <c r="B81" s="702"/>
      <c r="C81" s="703"/>
      <c r="D81" s="704"/>
      <c r="E81" s="705" t="s">
        <v>49</v>
      </c>
      <c r="F81" s="706">
        <v>45.59</v>
      </c>
      <c r="G81" s="695"/>
      <c r="H81" s="707">
        <v>360000</v>
      </c>
      <c r="I81" s="708">
        <v>50000</v>
      </c>
      <c r="J81" s="709">
        <v>20000</v>
      </c>
      <c r="K81" s="699"/>
      <c r="L81" s="735">
        <v>420000</v>
      </c>
      <c r="M81" s="726">
        <v>80000</v>
      </c>
      <c r="N81" s="727">
        <v>20000</v>
      </c>
      <c r="P81" s="732"/>
      <c r="Q81" s="732"/>
      <c r="R81" s="732"/>
      <c r="S81" s="732"/>
    </row>
    <row r="82" spans="1:19" ht="13.8">
      <c r="A82" s="701"/>
      <c r="B82" s="702"/>
      <c r="C82" s="703"/>
      <c r="D82" s="704"/>
      <c r="E82" s="705" t="s">
        <v>377</v>
      </c>
      <c r="F82" s="706">
        <v>57.144705882352959</v>
      </c>
      <c r="G82" s="695"/>
      <c r="H82" s="707">
        <v>410000</v>
      </c>
      <c r="I82" s="708">
        <v>50000</v>
      </c>
      <c r="J82" s="709">
        <v>20000</v>
      </c>
      <c r="K82" s="699"/>
      <c r="L82" s="735">
        <v>430000</v>
      </c>
      <c r="M82" s="726">
        <v>80000</v>
      </c>
      <c r="N82" s="727">
        <v>20000</v>
      </c>
      <c r="P82" s="732"/>
      <c r="Q82" s="732"/>
      <c r="R82" s="732"/>
      <c r="S82" s="732"/>
    </row>
    <row r="83" spans="1:19" ht="13.8">
      <c r="A83" s="701"/>
      <c r="B83" s="702"/>
      <c r="C83" s="703"/>
      <c r="D83" s="704"/>
      <c r="E83" s="705" t="s">
        <v>43</v>
      </c>
      <c r="F83" s="706">
        <v>52.919999999999995</v>
      </c>
      <c r="G83" s="695"/>
      <c r="H83" s="707">
        <v>400000</v>
      </c>
      <c r="I83" s="708">
        <v>50000</v>
      </c>
      <c r="J83" s="709">
        <v>20000</v>
      </c>
      <c r="K83" s="699"/>
      <c r="L83" s="735">
        <v>420000</v>
      </c>
      <c r="M83" s="726">
        <v>80000</v>
      </c>
      <c r="N83" s="727">
        <v>20000</v>
      </c>
      <c r="P83" s="732"/>
      <c r="Q83" s="732"/>
      <c r="R83" s="732"/>
      <c r="S83" s="732"/>
    </row>
    <row r="84" spans="1:19" ht="13.8">
      <c r="A84" s="701"/>
      <c r="B84" s="702"/>
      <c r="C84" s="703"/>
      <c r="D84" s="704"/>
      <c r="E84" s="705" t="s">
        <v>56</v>
      </c>
      <c r="F84" s="706">
        <v>77.267499999999998</v>
      </c>
      <c r="G84" s="695"/>
      <c r="H84" s="707">
        <v>460000</v>
      </c>
      <c r="I84" s="708">
        <v>50000</v>
      </c>
      <c r="J84" s="709">
        <v>20000</v>
      </c>
      <c r="K84" s="699"/>
      <c r="L84" s="735">
        <v>550000</v>
      </c>
      <c r="M84" s="726">
        <v>80000</v>
      </c>
      <c r="N84" s="727">
        <v>20000</v>
      </c>
      <c r="P84" s="732"/>
      <c r="Q84" s="732"/>
      <c r="R84" s="732"/>
      <c r="S84" s="732"/>
    </row>
    <row r="85" spans="1:19" ht="13.8">
      <c r="A85" s="720"/>
      <c r="B85" s="719"/>
      <c r="C85" s="711"/>
      <c r="D85" s="712"/>
      <c r="E85" s="713" t="s">
        <v>59</v>
      </c>
      <c r="F85" s="714">
        <v>73.44</v>
      </c>
      <c r="G85" s="695"/>
      <c r="H85" s="721">
        <v>450000</v>
      </c>
      <c r="I85" s="716">
        <v>50000</v>
      </c>
      <c r="J85" s="717">
        <v>20000</v>
      </c>
      <c r="K85" s="699"/>
      <c r="L85" s="734">
        <v>630000</v>
      </c>
      <c r="M85" s="729">
        <v>80000</v>
      </c>
      <c r="N85" s="730">
        <v>20000</v>
      </c>
      <c r="P85" s="732"/>
      <c r="Q85" s="732"/>
      <c r="R85" s="732"/>
      <c r="S85" s="732"/>
    </row>
    <row r="86" spans="1:19" ht="13.8">
      <c r="A86" s="689" t="s">
        <v>639</v>
      </c>
      <c r="B86" s="736" t="s">
        <v>5</v>
      </c>
      <c r="C86" s="691" t="s">
        <v>50</v>
      </c>
      <c r="D86" s="737" t="s">
        <v>736</v>
      </c>
      <c r="E86" s="693" t="s">
        <v>46</v>
      </c>
      <c r="F86" s="694">
        <v>34.695</v>
      </c>
      <c r="G86" s="695"/>
      <c r="H86" s="696">
        <v>270000</v>
      </c>
      <c r="I86" s="697">
        <v>30000</v>
      </c>
      <c r="J86" s="698">
        <v>10000</v>
      </c>
      <c r="K86" s="699"/>
      <c r="L86" s="733">
        <v>300000</v>
      </c>
      <c r="M86" s="738">
        <v>50000</v>
      </c>
      <c r="N86" s="739">
        <v>10000</v>
      </c>
      <c r="P86" s="732"/>
      <c r="Q86" s="732"/>
      <c r="R86" s="732"/>
      <c r="S86" s="732"/>
    </row>
    <row r="87" spans="1:19" ht="13.8">
      <c r="A87" s="701"/>
      <c r="B87" s="740"/>
      <c r="C87" s="703"/>
      <c r="D87" s="741"/>
      <c r="E87" s="705" t="s">
        <v>49</v>
      </c>
      <c r="F87" s="706">
        <v>44.37166666666667</v>
      </c>
      <c r="G87" s="695"/>
      <c r="H87" s="707">
        <v>330000</v>
      </c>
      <c r="I87" s="708">
        <v>30000</v>
      </c>
      <c r="J87" s="709">
        <v>10000</v>
      </c>
      <c r="K87" s="699"/>
      <c r="L87" s="735">
        <v>370000</v>
      </c>
      <c r="M87" s="742">
        <v>50000</v>
      </c>
      <c r="N87" s="743">
        <v>10000</v>
      </c>
      <c r="P87" s="732"/>
      <c r="Q87" s="732"/>
      <c r="R87" s="732"/>
      <c r="S87" s="732"/>
    </row>
    <row r="88" spans="1:19" ht="13.8">
      <c r="A88" s="701"/>
      <c r="B88" s="740"/>
      <c r="C88" s="703"/>
      <c r="D88" s="741"/>
      <c r="E88" s="705" t="s">
        <v>43</v>
      </c>
      <c r="F88" s="706">
        <v>51.398478260869567</v>
      </c>
      <c r="G88" s="695"/>
      <c r="H88" s="707">
        <v>375000</v>
      </c>
      <c r="I88" s="708">
        <v>30000</v>
      </c>
      <c r="J88" s="709">
        <v>10000</v>
      </c>
      <c r="K88" s="699"/>
      <c r="L88" s="735">
        <v>390000</v>
      </c>
      <c r="M88" s="742">
        <v>50000</v>
      </c>
      <c r="N88" s="743">
        <v>10000</v>
      </c>
      <c r="P88" s="732"/>
      <c r="Q88" s="732"/>
      <c r="R88" s="732"/>
      <c r="S88" s="732"/>
    </row>
    <row r="89" spans="1:19" ht="13.8">
      <c r="A89" s="701"/>
      <c r="B89" s="740"/>
      <c r="C89" s="711"/>
      <c r="D89" s="744"/>
      <c r="E89" s="713" t="s">
        <v>47</v>
      </c>
      <c r="F89" s="714">
        <v>56.215000000000003</v>
      </c>
      <c r="G89" s="695"/>
      <c r="H89" s="721">
        <v>400000</v>
      </c>
      <c r="I89" s="716">
        <v>30000</v>
      </c>
      <c r="J89" s="717">
        <v>10000</v>
      </c>
      <c r="K89" s="699"/>
      <c r="L89" s="734">
        <v>410000</v>
      </c>
      <c r="M89" s="745">
        <v>50000</v>
      </c>
      <c r="N89" s="746">
        <v>10000</v>
      </c>
      <c r="P89" s="732"/>
      <c r="Q89" s="732"/>
      <c r="R89" s="732"/>
      <c r="S89" s="732"/>
    </row>
    <row r="90" spans="1:19" ht="13.8">
      <c r="A90" s="701"/>
      <c r="B90" s="747"/>
      <c r="C90" s="748" t="s">
        <v>737</v>
      </c>
      <c r="D90" s="737" t="s">
        <v>736</v>
      </c>
      <c r="E90" s="693" t="s">
        <v>46</v>
      </c>
      <c r="F90" s="694">
        <v>34.695</v>
      </c>
      <c r="G90" s="695"/>
      <c r="H90" s="696">
        <v>270000</v>
      </c>
      <c r="I90" s="697">
        <v>30000</v>
      </c>
      <c r="J90" s="698">
        <v>10000</v>
      </c>
      <c r="K90" s="699"/>
      <c r="L90" s="733">
        <v>300000</v>
      </c>
      <c r="M90" s="738">
        <v>50000</v>
      </c>
      <c r="N90" s="739">
        <v>10000</v>
      </c>
      <c r="P90" s="732"/>
      <c r="Q90" s="732"/>
      <c r="R90" s="732"/>
      <c r="S90" s="732"/>
    </row>
    <row r="91" spans="1:19" ht="13.8">
      <c r="A91" s="701"/>
      <c r="B91" s="747"/>
      <c r="C91" s="749"/>
      <c r="D91" s="741"/>
      <c r="E91" s="705" t="s">
        <v>49</v>
      </c>
      <c r="F91" s="706">
        <v>44.37166666666667</v>
      </c>
      <c r="G91" s="695"/>
      <c r="H91" s="707">
        <v>330000</v>
      </c>
      <c r="I91" s="708">
        <v>30000</v>
      </c>
      <c r="J91" s="709">
        <v>10000</v>
      </c>
      <c r="K91" s="699"/>
      <c r="L91" s="735">
        <v>370000</v>
      </c>
      <c r="M91" s="742">
        <v>50000</v>
      </c>
      <c r="N91" s="743">
        <v>10000</v>
      </c>
      <c r="P91" s="732"/>
      <c r="Q91" s="732"/>
      <c r="R91" s="732"/>
      <c r="S91" s="732"/>
    </row>
    <row r="92" spans="1:19" ht="13.8">
      <c r="A92" s="701"/>
      <c r="B92" s="747"/>
      <c r="C92" s="749"/>
      <c r="D92" s="741"/>
      <c r="E92" s="705" t="s">
        <v>43</v>
      </c>
      <c r="F92" s="706">
        <v>51.398478260869567</v>
      </c>
      <c r="G92" s="695"/>
      <c r="H92" s="707">
        <v>375000</v>
      </c>
      <c r="I92" s="708">
        <v>30000</v>
      </c>
      <c r="J92" s="709">
        <v>10000</v>
      </c>
      <c r="K92" s="699"/>
      <c r="L92" s="735">
        <v>390000</v>
      </c>
      <c r="M92" s="742">
        <v>50000</v>
      </c>
      <c r="N92" s="743">
        <v>10000</v>
      </c>
    </row>
    <row r="93" spans="1:19" ht="13.8">
      <c r="A93" s="701"/>
      <c r="B93" s="750"/>
      <c r="C93" s="751"/>
      <c r="D93" s="744"/>
      <c r="E93" s="713" t="s">
        <v>47</v>
      </c>
      <c r="F93" s="714">
        <v>56.215000000000003</v>
      </c>
      <c r="G93" s="695"/>
      <c r="H93" s="721">
        <v>400000</v>
      </c>
      <c r="I93" s="716">
        <v>30000</v>
      </c>
      <c r="J93" s="717">
        <v>10000</v>
      </c>
      <c r="K93" s="699"/>
      <c r="L93" s="734">
        <v>410000</v>
      </c>
      <c r="M93" s="745">
        <v>50000</v>
      </c>
      <c r="N93" s="746">
        <v>10000</v>
      </c>
    </row>
    <row r="94" spans="1:19" ht="13.8">
      <c r="A94" s="701"/>
      <c r="B94" s="690" t="s">
        <v>3</v>
      </c>
      <c r="C94" s="748" t="s">
        <v>738</v>
      </c>
      <c r="D94" s="692" t="s">
        <v>739</v>
      </c>
      <c r="E94" s="693" t="s">
        <v>46</v>
      </c>
      <c r="F94" s="694">
        <v>36.326666666666661</v>
      </c>
      <c r="G94" s="695"/>
      <c r="H94" s="696">
        <v>280000</v>
      </c>
      <c r="I94" s="697">
        <v>30000</v>
      </c>
      <c r="J94" s="698">
        <v>10000</v>
      </c>
      <c r="K94" s="699"/>
      <c r="L94" s="733">
        <v>320000</v>
      </c>
      <c r="M94" s="738">
        <v>50000</v>
      </c>
      <c r="N94" s="739">
        <v>10000</v>
      </c>
    </row>
    <row r="95" spans="1:19" ht="13.8">
      <c r="A95" s="701"/>
      <c r="B95" s="702"/>
      <c r="C95" s="749"/>
      <c r="D95" s="704"/>
      <c r="E95" s="705" t="s">
        <v>49</v>
      </c>
      <c r="F95" s="706">
        <v>44.930172413793095</v>
      </c>
      <c r="G95" s="695"/>
      <c r="H95" s="707">
        <v>330000</v>
      </c>
      <c r="I95" s="708">
        <v>30000</v>
      </c>
      <c r="J95" s="709">
        <v>10000</v>
      </c>
      <c r="K95" s="699"/>
      <c r="L95" s="735">
        <v>370000</v>
      </c>
      <c r="M95" s="742">
        <v>50000</v>
      </c>
      <c r="N95" s="743">
        <v>10000</v>
      </c>
    </row>
    <row r="96" spans="1:19" ht="13.8">
      <c r="A96" s="701"/>
      <c r="B96" s="702"/>
      <c r="C96" s="749"/>
      <c r="D96" s="704"/>
      <c r="E96" s="705" t="s">
        <v>48</v>
      </c>
      <c r="F96" s="706">
        <v>48.979000000000006</v>
      </c>
      <c r="G96" s="695"/>
      <c r="H96" s="707">
        <v>350000</v>
      </c>
      <c r="I96" s="708">
        <v>30000</v>
      </c>
      <c r="J96" s="709">
        <v>10000</v>
      </c>
      <c r="K96" s="699"/>
      <c r="L96" s="735">
        <v>380000</v>
      </c>
      <c r="M96" s="742">
        <v>50000</v>
      </c>
      <c r="N96" s="743">
        <v>10000</v>
      </c>
    </row>
    <row r="97" spans="1:14" ht="13.8">
      <c r="A97" s="701"/>
      <c r="B97" s="702"/>
      <c r="C97" s="751"/>
      <c r="D97" s="712"/>
      <c r="E97" s="713" t="s">
        <v>47</v>
      </c>
      <c r="F97" s="714">
        <v>53.973846153846139</v>
      </c>
      <c r="G97" s="695"/>
      <c r="H97" s="721">
        <v>400000</v>
      </c>
      <c r="I97" s="716">
        <v>30000</v>
      </c>
      <c r="J97" s="717">
        <v>10000</v>
      </c>
      <c r="K97" s="699"/>
      <c r="L97" s="734">
        <v>415000</v>
      </c>
      <c r="M97" s="745">
        <v>50000</v>
      </c>
      <c r="N97" s="746">
        <v>10000</v>
      </c>
    </row>
    <row r="98" spans="1:14" ht="13.8">
      <c r="A98" s="701"/>
      <c r="B98" s="702"/>
      <c r="C98" s="691" t="s">
        <v>52</v>
      </c>
      <c r="D98" s="737" t="s">
        <v>740</v>
      </c>
      <c r="E98" s="693" t="s">
        <v>46</v>
      </c>
      <c r="F98" s="694">
        <v>33.546081081081084</v>
      </c>
      <c r="G98" s="695"/>
      <c r="H98" s="696">
        <v>270000</v>
      </c>
      <c r="I98" s="697">
        <v>30000</v>
      </c>
      <c r="J98" s="698">
        <v>10000</v>
      </c>
      <c r="K98" s="699"/>
      <c r="L98" s="733">
        <v>310000</v>
      </c>
      <c r="M98" s="738">
        <v>50000</v>
      </c>
      <c r="N98" s="739">
        <v>10000</v>
      </c>
    </row>
    <row r="99" spans="1:14" ht="13.8">
      <c r="A99" s="701"/>
      <c r="B99" s="702"/>
      <c r="C99" s="703"/>
      <c r="D99" s="704"/>
      <c r="E99" s="705" t="s">
        <v>49</v>
      </c>
      <c r="F99" s="706">
        <v>44.949807692307708</v>
      </c>
      <c r="G99" s="695"/>
      <c r="H99" s="707">
        <v>320000</v>
      </c>
      <c r="I99" s="708">
        <v>30000</v>
      </c>
      <c r="J99" s="709">
        <v>10000</v>
      </c>
      <c r="K99" s="699"/>
      <c r="L99" s="735">
        <v>360000</v>
      </c>
      <c r="M99" s="742">
        <v>50000</v>
      </c>
      <c r="N99" s="743">
        <v>10000</v>
      </c>
    </row>
    <row r="100" spans="1:14" ht="13.8">
      <c r="A100" s="701"/>
      <c r="B100" s="702"/>
      <c r="C100" s="711"/>
      <c r="D100" s="712"/>
      <c r="E100" s="713" t="s">
        <v>43</v>
      </c>
      <c r="F100" s="714">
        <v>51.698750000000004</v>
      </c>
      <c r="G100" s="695"/>
      <c r="H100" s="721">
        <v>370000</v>
      </c>
      <c r="I100" s="716">
        <v>30000</v>
      </c>
      <c r="J100" s="717">
        <v>10000</v>
      </c>
      <c r="K100" s="699"/>
      <c r="L100" s="734">
        <v>390000</v>
      </c>
      <c r="M100" s="745">
        <v>50000</v>
      </c>
      <c r="N100" s="746">
        <v>10000</v>
      </c>
    </row>
    <row r="101" spans="1:14" ht="13.8">
      <c r="A101" s="701"/>
      <c r="B101" s="702"/>
      <c r="C101" s="748" t="s">
        <v>378</v>
      </c>
      <c r="D101" s="692"/>
      <c r="E101" s="693" t="s">
        <v>46</v>
      </c>
      <c r="F101" s="694">
        <v>35.380000000000003</v>
      </c>
      <c r="G101" s="695"/>
      <c r="H101" s="696">
        <v>270000</v>
      </c>
      <c r="I101" s="697">
        <v>30000</v>
      </c>
      <c r="J101" s="698">
        <v>10000</v>
      </c>
      <c r="K101" s="699"/>
      <c r="L101" s="733">
        <v>320000</v>
      </c>
      <c r="M101" s="738">
        <v>50000</v>
      </c>
      <c r="N101" s="739">
        <v>10000</v>
      </c>
    </row>
    <row r="102" spans="1:14" ht="13.8">
      <c r="A102" s="701"/>
      <c r="B102" s="702"/>
      <c r="C102" s="747"/>
      <c r="D102" s="704"/>
      <c r="E102" s="705" t="s">
        <v>49</v>
      </c>
      <c r="F102" s="706">
        <v>46.08</v>
      </c>
      <c r="G102" s="695"/>
      <c r="H102" s="707">
        <v>320000</v>
      </c>
      <c r="I102" s="708">
        <v>30000</v>
      </c>
      <c r="J102" s="709">
        <v>10000</v>
      </c>
      <c r="K102" s="699"/>
      <c r="L102" s="735">
        <v>360000</v>
      </c>
      <c r="M102" s="742">
        <v>50000</v>
      </c>
      <c r="N102" s="743">
        <v>10000</v>
      </c>
    </row>
    <row r="103" spans="1:14" ht="13.8">
      <c r="A103" s="701"/>
      <c r="B103" s="702"/>
      <c r="C103" s="747"/>
      <c r="D103" s="704"/>
      <c r="E103" s="705" t="s">
        <v>48</v>
      </c>
      <c r="F103" s="706"/>
      <c r="G103" s="695"/>
      <c r="H103" s="707">
        <v>320000</v>
      </c>
      <c r="I103" s="708">
        <v>30000</v>
      </c>
      <c r="J103" s="709">
        <v>10000</v>
      </c>
      <c r="K103" s="699"/>
      <c r="L103" s="735">
        <v>360000</v>
      </c>
      <c r="M103" s="742">
        <v>50000</v>
      </c>
      <c r="N103" s="743">
        <v>10000</v>
      </c>
    </row>
    <row r="104" spans="1:14" ht="13.8">
      <c r="A104" s="701"/>
      <c r="B104" s="702"/>
      <c r="C104" s="747"/>
      <c r="D104" s="704"/>
      <c r="E104" s="705" t="s">
        <v>43</v>
      </c>
      <c r="F104" s="706">
        <v>53.62</v>
      </c>
      <c r="G104" s="695"/>
      <c r="H104" s="707">
        <v>370000</v>
      </c>
      <c r="I104" s="708">
        <v>30000</v>
      </c>
      <c r="J104" s="709">
        <v>10000</v>
      </c>
      <c r="K104" s="699"/>
      <c r="L104" s="735">
        <v>380000</v>
      </c>
      <c r="M104" s="742">
        <v>50000</v>
      </c>
      <c r="N104" s="743">
        <v>10000</v>
      </c>
    </row>
    <row r="105" spans="1:14" ht="13.8">
      <c r="A105" s="701"/>
      <c r="B105" s="702"/>
      <c r="C105" s="750"/>
      <c r="D105" s="712"/>
      <c r="E105" s="713" t="s">
        <v>47</v>
      </c>
      <c r="F105" s="714">
        <v>55.43</v>
      </c>
      <c r="G105" s="695"/>
      <c r="H105" s="721">
        <v>410000</v>
      </c>
      <c r="I105" s="716">
        <v>30000</v>
      </c>
      <c r="J105" s="717">
        <v>10000</v>
      </c>
      <c r="K105" s="699"/>
      <c r="L105" s="734">
        <v>420000</v>
      </c>
      <c r="M105" s="745">
        <v>50000</v>
      </c>
      <c r="N105" s="746">
        <v>10000</v>
      </c>
    </row>
    <row r="106" spans="1:14" ht="13.8">
      <c r="A106" s="701"/>
      <c r="B106" s="702"/>
      <c r="C106" s="752" t="s">
        <v>123</v>
      </c>
      <c r="D106" s="692" t="s">
        <v>741</v>
      </c>
      <c r="E106" s="693" t="s">
        <v>46</v>
      </c>
      <c r="F106" s="694">
        <v>34.406571428571432</v>
      </c>
      <c r="G106" s="695"/>
      <c r="H106" s="696">
        <v>270000</v>
      </c>
      <c r="I106" s="697">
        <v>30000</v>
      </c>
      <c r="J106" s="698">
        <v>10000</v>
      </c>
      <c r="K106" s="699"/>
      <c r="L106" s="733">
        <v>320000</v>
      </c>
      <c r="M106" s="738">
        <v>50000</v>
      </c>
      <c r="N106" s="739">
        <v>10000</v>
      </c>
    </row>
    <row r="107" spans="1:14" ht="13.8">
      <c r="A107" s="701"/>
      <c r="B107" s="702"/>
      <c r="C107" s="753"/>
      <c r="D107" s="704"/>
      <c r="E107" s="705" t="s">
        <v>49</v>
      </c>
      <c r="F107" s="706">
        <v>46.7190625</v>
      </c>
      <c r="G107" s="695"/>
      <c r="H107" s="707">
        <v>320000</v>
      </c>
      <c r="I107" s="708">
        <v>30000</v>
      </c>
      <c r="J107" s="709">
        <v>10000</v>
      </c>
      <c r="K107" s="699"/>
      <c r="L107" s="735">
        <v>360000</v>
      </c>
      <c r="M107" s="742">
        <v>50000</v>
      </c>
      <c r="N107" s="743">
        <v>10000</v>
      </c>
    </row>
    <row r="108" spans="1:14" ht="13.8">
      <c r="A108" s="701"/>
      <c r="B108" s="702"/>
      <c r="C108" s="753"/>
      <c r="D108" s="704"/>
      <c r="E108" s="705" t="s">
        <v>43</v>
      </c>
      <c r="F108" s="706">
        <v>52.985158730158716</v>
      </c>
      <c r="G108" s="695"/>
      <c r="H108" s="707">
        <v>380000</v>
      </c>
      <c r="I108" s="708">
        <v>30000</v>
      </c>
      <c r="J108" s="709">
        <v>10000</v>
      </c>
      <c r="K108" s="699"/>
      <c r="L108" s="735">
        <v>380000</v>
      </c>
      <c r="M108" s="742">
        <v>50000</v>
      </c>
      <c r="N108" s="743">
        <v>10000</v>
      </c>
    </row>
    <row r="109" spans="1:14" ht="13.8">
      <c r="A109" s="701"/>
      <c r="B109" s="719"/>
      <c r="C109" s="754"/>
      <c r="D109" s="712"/>
      <c r="E109" s="713" t="s">
        <v>47</v>
      </c>
      <c r="F109" s="714">
        <v>54.057068965517239</v>
      </c>
      <c r="G109" s="695"/>
      <c r="H109" s="721">
        <v>400000</v>
      </c>
      <c r="I109" s="716">
        <v>30000</v>
      </c>
      <c r="J109" s="717">
        <v>10000</v>
      </c>
      <c r="K109" s="699"/>
      <c r="L109" s="734">
        <v>420000</v>
      </c>
      <c r="M109" s="745">
        <v>50000</v>
      </c>
      <c r="N109" s="746">
        <v>10000</v>
      </c>
    </row>
    <row r="110" spans="1:14" ht="13.8">
      <c r="A110" s="701"/>
      <c r="B110" s="690" t="s">
        <v>7</v>
      </c>
      <c r="C110" s="691" t="s">
        <v>53</v>
      </c>
      <c r="D110" s="692" t="s">
        <v>742</v>
      </c>
      <c r="E110" s="693" t="s">
        <v>46</v>
      </c>
      <c r="F110" s="694">
        <v>34.554176470588231</v>
      </c>
      <c r="G110" s="695"/>
      <c r="H110" s="696">
        <v>320000</v>
      </c>
      <c r="I110" s="697">
        <v>30000</v>
      </c>
      <c r="J110" s="698">
        <v>10000</v>
      </c>
      <c r="K110" s="699"/>
      <c r="L110" s="733">
        <v>330000</v>
      </c>
      <c r="M110" s="738">
        <v>60000</v>
      </c>
      <c r="N110" s="739">
        <v>10000</v>
      </c>
    </row>
    <row r="111" spans="1:14" ht="13.8">
      <c r="A111" s="701"/>
      <c r="B111" s="702"/>
      <c r="C111" s="703"/>
      <c r="D111" s="704"/>
      <c r="E111" s="705" t="s">
        <v>49</v>
      </c>
      <c r="F111" s="706">
        <v>43.487999999999992</v>
      </c>
      <c r="G111" s="695"/>
      <c r="H111" s="707">
        <v>360000</v>
      </c>
      <c r="I111" s="708">
        <v>30000</v>
      </c>
      <c r="J111" s="709">
        <v>10000</v>
      </c>
      <c r="K111" s="699"/>
      <c r="L111" s="735">
        <v>350000</v>
      </c>
      <c r="M111" s="742">
        <v>60000</v>
      </c>
      <c r="N111" s="743">
        <v>10000</v>
      </c>
    </row>
    <row r="112" spans="1:14" ht="13.8">
      <c r="A112" s="701"/>
      <c r="B112" s="702"/>
      <c r="C112" s="703"/>
      <c r="D112" s="704"/>
      <c r="E112" s="705" t="s">
        <v>43</v>
      </c>
      <c r="F112" s="706">
        <v>54.309200000000011</v>
      </c>
      <c r="G112" s="695"/>
      <c r="H112" s="707">
        <v>400000</v>
      </c>
      <c r="I112" s="708">
        <v>30000</v>
      </c>
      <c r="J112" s="709">
        <v>10000</v>
      </c>
      <c r="K112" s="699"/>
      <c r="L112" s="735">
        <v>380000</v>
      </c>
      <c r="M112" s="742">
        <v>60000</v>
      </c>
      <c r="N112" s="743">
        <v>10000</v>
      </c>
    </row>
    <row r="113" spans="1:14" ht="13.8">
      <c r="A113" s="701"/>
      <c r="B113" s="719"/>
      <c r="C113" s="711"/>
      <c r="D113" s="712"/>
      <c r="E113" s="713" t="s">
        <v>54</v>
      </c>
      <c r="F113" s="714">
        <v>51.498977272727274</v>
      </c>
      <c r="G113" s="695"/>
      <c r="H113" s="721">
        <v>410000</v>
      </c>
      <c r="I113" s="716">
        <v>30000</v>
      </c>
      <c r="J113" s="717">
        <v>10000</v>
      </c>
      <c r="K113" s="699"/>
      <c r="L113" s="734">
        <v>400000</v>
      </c>
      <c r="M113" s="745">
        <v>60000</v>
      </c>
      <c r="N113" s="746">
        <v>10000</v>
      </c>
    </row>
    <row r="114" spans="1:14" ht="13.8">
      <c r="A114" s="701"/>
      <c r="B114" s="690" t="s">
        <v>10</v>
      </c>
      <c r="C114" s="691" t="s">
        <v>51</v>
      </c>
      <c r="D114" s="755" t="s">
        <v>743</v>
      </c>
      <c r="E114" s="693" t="s">
        <v>46</v>
      </c>
      <c r="F114" s="694">
        <v>35.082250000000002</v>
      </c>
      <c r="G114" s="695"/>
      <c r="H114" s="696">
        <v>360000</v>
      </c>
      <c r="I114" s="697">
        <v>40000</v>
      </c>
      <c r="J114" s="698">
        <v>15000</v>
      </c>
      <c r="K114" s="699"/>
      <c r="L114" s="733">
        <v>370000</v>
      </c>
      <c r="M114" s="738">
        <v>65000</v>
      </c>
      <c r="N114" s="739">
        <v>20000</v>
      </c>
    </row>
    <row r="115" spans="1:14" ht="13.8">
      <c r="A115" s="701"/>
      <c r="B115" s="702"/>
      <c r="C115" s="703"/>
      <c r="D115" s="704"/>
      <c r="E115" s="705" t="s">
        <v>49</v>
      </c>
      <c r="F115" s="706">
        <v>47.23738095238096</v>
      </c>
      <c r="G115" s="695"/>
      <c r="H115" s="707">
        <v>430000</v>
      </c>
      <c r="I115" s="708">
        <v>40000</v>
      </c>
      <c r="J115" s="709">
        <v>15000</v>
      </c>
      <c r="K115" s="699"/>
      <c r="L115" s="735">
        <v>400000</v>
      </c>
      <c r="M115" s="742">
        <v>65000</v>
      </c>
      <c r="N115" s="743">
        <v>20000</v>
      </c>
    </row>
    <row r="116" spans="1:14" ht="13.8">
      <c r="A116" s="701"/>
      <c r="B116" s="702"/>
      <c r="C116" s="703"/>
      <c r="D116" s="704"/>
      <c r="E116" s="705" t="s">
        <v>43</v>
      </c>
      <c r="F116" s="706">
        <v>55.711874999999999</v>
      </c>
      <c r="G116" s="695"/>
      <c r="H116" s="707">
        <v>460000</v>
      </c>
      <c r="I116" s="708">
        <v>40000</v>
      </c>
      <c r="J116" s="709">
        <v>15000</v>
      </c>
      <c r="K116" s="699"/>
      <c r="L116" s="735">
        <v>440000</v>
      </c>
      <c r="M116" s="742">
        <v>65000</v>
      </c>
      <c r="N116" s="743">
        <v>20000</v>
      </c>
    </row>
    <row r="117" spans="1:14" ht="13.8">
      <c r="A117" s="701"/>
      <c r="B117" s="702"/>
      <c r="C117" s="711"/>
      <c r="D117" s="712"/>
      <c r="E117" s="713" t="s">
        <v>57</v>
      </c>
      <c r="F117" s="714">
        <v>69.722999999999985</v>
      </c>
      <c r="G117" s="695"/>
      <c r="H117" s="721">
        <v>510000</v>
      </c>
      <c r="I117" s="716">
        <v>40000</v>
      </c>
      <c r="J117" s="717">
        <v>15000</v>
      </c>
      <c r="K117" s="699"/>
      <c r="L117" s="734">
        <v>500000</v>
      </c>
      <c r="M117" s="745">
        <v>65000</v>
      </c>
      <c r="N117" s="746">
        <v>20000</v>
      </c>
    </row>
    <row r="118" spans="1:14" ht="13.8">
      <c r="A118" s="701"/>
      <c r="B118" s="702"/>
      <c r="C118" s="691" t="s">
        <v>42</v>
      </c>
      <c r="D118" s="755" t="s">
        <v>744</v>
      </c>
      <c r="E118" s="693" t="s">
        <v>46</v>
      </c>
      <c r="F118" s="694">
        <v>32.517499999999998</v>
      </c>
      <c r="G118" s="695"/>
      <c r="H118" s="696">
        <v>370000</v>
      </c>
      <c r="I118" s="697">
        <v>40000</v>
      </c>
      <c r="J118" s="698">
        <v>15000</v>
      </c>
      <c r="K118" s="699"/>
      <c r="L118" s="733">
        <v>410000</v>
      </c>
      <c r="M118" s="738">
        <v>65000</v>
      </c>
      <c r="N118" s="739">
        <v>10000</v>
      </c>
    </row>
    <row r="119" spans="1:14" ht="13.8">
      <c r="A119" s="701"/>
      <c r="B119" s="702"/>
      <c r="C119" s="703"/>
      <c r="D119" s="704"/>
      <c r="E119" s="756" t="s">
        <v>49</v>
      </c>
      <c r="F119" s="706">
        <v>44.92861111111111</v>
      </c>
      <c r="G119" s="695"/>
      <c r="H119" s="707">
        <v>440000</v>
      </c>
      <c r="I119" s="708">
        <v>40000</v>
      </c>
      <c r="J119" s="709">
        <v>15000</v>
      </c>
      <c r="K119" s="699"/>
      <c r="L119" s="735">
        <v>450000</v>
      </c>
      <c r="M119" s="742">
        <v>65000</v>
      </c>
      <c r="N119" s="743">
        <v>10000</v>
      </c>
    </row>
    <row r="120" spans="1:14" ht="13.8">
      <c r="A120" s="701"/>
      <c r="B120" s="719"/>
      <c r="C120" s="711"/>
      <c r="D120" s="712"/>
      <c r="E120" s="757" t="s">
        <v>43</v>
      </c>
      <c r="F120" s="714">
        <v>52.529428571428546</v>
      </c>
      <c r="G120" s="695"/>
      <c r="H120" s="721">
        <v>480000</v>
      </c>
      <c r="I120" s="716">
        <v>40000</v>
      </c>
      <c r="J120" s="717">
        <v>15000</v>
      </c>
      <c r="K120" s="699"/>
      <c r="L120" s="734">
        <v>470000</v>
      </c>
      <c r="M120" s="745">
        <v>65000</v>
      </c>
      <c r="N120" s="746">
        <v>10000</v>
      </c>
    </row>
    <row r="121" spans="1:14" ht="13.8">
      <c r="A121" s="701"/>
      <c r="B121" s="690" t="s">
        <v>11</v>
      </c>
      <c r="C121" s="691" t="s">
        <v>124</v>
      </c>
      <c r="D121" s="692" t="s">
        <v>745</v>
      </c>
      <c r="E121" s="693" t="s">
        <v>46</v>
      </c>
      <c r="F121" s="694">
        <v>33.284999999999997</v>
      </c>
      <c r="G121" s="695"/>
      <c r="H121" s="696">
        <v>300000</v>
      </c>
      <c r="I121" s="697">
        <v>30000</v>
      </c>
      <c r="J121" s="698">
        <v>10000</v>
      </c>
      <c r="K121" s="699"/>
      <c r="L121" s="733">
        <v>300000</v>
      </c>
      <c r="M121" s="738">
        <v>50000</v>
      </c>
      <c r="N121" s="739">
        <v>10000</v>
      </c>
    </row>
    <row r="122" spans="1:14" ht="13.8">
      <c r="A122" s="701"/>
      <c r="B122" s="702"/>
      <c r="C122" s="703"/>
      <c r="D122" s="704"/>
      <c r="E122" s="705" t="s">
        <v>49</v>
      </c>
      <c r="F122" s="706">
        <v>45.235925925925933</v>
      </c>
      <c r="G122" s="695"/>
      <c r="H122" s="707">
        <v>340000</v>
      </c>
      <c r="I122" s="708">
        <v>30000</v>
      </c>
      <c r="J122" s="709">
        <v>10000</v>
      </c>
      <c r="K122" s="699"/>
      <c r="L122" s="735">
        <v>350000</v>
      </c>
      <c r="M122" s="742">
        <v>50000</v>
      </c>
      <c r="N122" s="743">
        <v>10000</v>
      </c>
    </row>
    <row r="123" spans="1:14" ht="13.8">
      <c r="A123" s="701"/>
      <c r="B123" s="702"/>
      <c r="C123" s="703"/>
      <c r="D123" s="704"/>
      <c r="E123" s="705" t="s">
        <v>40</v>
      </c>
      <c r="F123" s="706">
        <v>52.933611111111112</v>
      </c>
      <c r="G123" s="695"/>
      <c r="H123" s="707">
        <v>400000</v>
      </c>
      <c r="I123" s="708">
        <v>30000</v>
      </c>
      <c r="J123" s="709">
        <v>10000</v>
      </c>
      <c r="K123" s="699"/>
      <c r="L123" s="735">
        <v>380000</v>
      </c>
      <c r="M123" s="742">
        <v>50000</v>
      </c>
      <c r="N123" s="743">
        <v>10000</v>
      </c>
    </row>
    <row r="124" spans="1:14" ht="13.8">
      <c r="A124" s="701"/>
      <c r="B124" s="719"/>
      <c r="C124" s="711"/>
      <c r="D124" s="712"/>
      <c r="E124" s="713" t="s">
        <v>57</v>
      </c>
      <c r="F124" s="714">
        <v>73.724999999999994</v>
      </c>
      <c r="G124" s="695"/>
      <c r="H124" s="721">
        <v>430000</v>
      </c>
      <c r="I124" s="716">
        <v>30000</v>
      </c>
      <c r="J124" s="717">
        <v>10000</v>
      </c>
      <c r="K124" s="699"/>
      <c r="L124" s="734">
        <v>450000</v>
      </c>
      <c r="M124" s="745">
        <v>50000</v>
      </c>
      <c r="N124" s="746">
        <v>10000</v>
      </c>
    </row>
    <row r="125" spans="1:14" ht="13.8">
      <c r="A125" s="701"/>
      <c r="B125" s="690" t="s">
        <v>6</v>
      </c>
      <c r="C125" s="748" t="s">
        <v>746</v>
      </c>
      <c r="D125" s="692" t="s">
        <v>747</v>
      </c>
      <c r="E125" s="693" t="s">
        <v>748</v>
      </c>
      <c r="F125" s="694">
        <v>34.19</v>
      </c>
      <c r="G125" s="695"/>
      <c r="H125" s="696">
        <v>320000</v>
      </c>
      <c r="I125" s="697">
        <v>30000</v>
      </c>
      <c r="J125" s="698">
        <v>10000</v>
      </c>
      <c r="K125" s="699"/>
      <c r="L125" s="733">
        <v>310000</v>
      </c>
      <c r="M125" s="738">
        <v>50000</v>
      </c>
      <c r="N125" s="739">
        <v>10000</v>
      </c>
    </row>
    <row r="126" spans="1:14" ht="13.8">
      <c r="A126" s="701"/>
      <c r="B126" s="702"/>
      <c r="C126" s="749"/>
      <c r="D126" s="704"/>
      <c r="E126" s="705" t="s">
        <v>49</v>
      </c>
      <c r="F126" s="706">
        <v>43.5</v>
      </c>
      <c r="G126" s="695"/>
      <c r="H126" s="707">
        <v>365000</v>
      </c>
      <c r="I126" s="708">
        <v>30000</v>
      </c>
      <c r="J126" s="709">
        <v>10000</v>
      </c>
      <c r="K126" s="699"/>
      <c r="L126" s="735">
        <v>350000</v>
      </c>
      <c r="M126" s="742">
        <v>50000</v>
      </c>
      <c r="N126" s="743">
        <v>10000</v>
      </c>
    </row>
    <row r="127" spans="1:14" ht="13.8">
      <c r="A127" s="701"/>
      <c r="B127" s="702"/>
      <c r="C127" s="758"/>
      <c r="D127" s="699"/>
      <c r="E127" s="705" t="s">
        <v>40</v>
      </c>
      <c r="F127" s="706">
        <v>54.35</v>
      </c>
      <c r="G127" s="695"/>
      <c r="H127" s="707">
        <v>410000</v>
      </c>
      <c r="I127" s="708">
        <v>30000</v>
      </c>
      <c r="J127" s="709">
        <v>10000</v>
      </c>
      <c r="K127" s="699"/>
      <c r="L127" s="735">
        <v>450000</v>
      </c>
      <c r="M127" s="742">
        <v>50000</v>
      </c>
      <c r="N127" s="743">
        <v>10000</v>
      </c>
    </row>
    <row r="128" spans="1:14" ht="13.8">
      <c r="A128" s="720"/>
      <c r="B128" s="719"/>
      <c r="C128" s="759"/>
      <c r="D128" s="760"/>
      <c r="E128" s="713" t="s">
        <v>41</v>
      </c>
      <c r="F128" s="714">
        <v>50.52</v>
      </c>
      <c r="G128" s="695"/>
      <c r="H128" s="721">
        <v>440000</v>
      </c>
      <c r="I128" s="716">
        <v>30000</v>
      </c>
      <c r="J128" s="717">
        <v>10000</v>
      </c>
      <c r="K128" s="699"/>
      <c r="L128" s="734">
        <v>410000</v>
      </c>
      <c r="M128" s="745">
        <v>50000</v>
      </c>
      <c r="N128" s="746">
        <v>10000</v>
      </c>
    </row>
    <row r="129" ht="13.2"/>
    <row r="130" ht="13.2"/>
    <row r="131" ht="13.2"/>
    <row r="132" ht="13.2"/>
    <row r="133" ht="13.2"/>
    <row r="134" ht="13.2"/>
    <row r="135" ht="13.2"/>
    <row r="136" ht="13.2"/>
    <row r="137" ht="13.2"/>
    <row r="138" ht="13.2"/>
    <row r="139" ht="13.2"/>
    <row r="140" ht="13.2"/>
    <row r="141" ht="13.2"/>
    <row r="142" ht="13.2"/>
    <row r="143" ht="13.2"/>
    <row r="144" ht="13.2"/>
    <row r="145" ht="13.2"/>
    <row r="146" ht="13.2"/>
    <row r="147" ht="13.2"/>
    <row r="148" ht="13.2"/>
    <row r="149" ht="13.2"/>
    <row r="150" ht="13.2"/>
    <row r="151" ht="13.2"/>
    <row r="152" ht="13.2"/>
    <row r="153" ht="13.2"/>
    <row r="154" ht="13.2"/>
    <row r="155" ht="13.2"/>
    <row r="156" ht="13.2"/>
    <row r="157" ht="13.2"/>
    <row r="158" ht="13.2"/>
    <row r="159" ht="13.2"/>
    <row r="160" ht="13.2"/>
    <row r="161" ht="13.2"/>
    <row r="162" ht="13.2"/>
    <row r="163" ht="13.2"/>
    <row r="164" ht="13.2"/>
    <row r="165" ht="13.2"/>
    <row r="166" ht="13.2"/>
    <row r="167" ht="13.2"/>
    <row r="168" ht="13.2"/>
    <row r="169" ht="13.2"/>
    <row r="170" ht="13.2"/>
    <row r="171" ht="13.2"/>
    <row r="172" ht="13.2"/>
    <row r="173" ht="13.2"/>
    <row r="174" ht="13.2"/>
    <row r="175" ht="13.2"/>
    <row r="176" ht="13.2"/>
    <row r="177" ht="13.2"/>
    <row r="178" ht="13.2"/>
    <row r="179" ht="13.2"/>
    <row r="180" ht="13.2"/>
    <row r="181" ht="13.2"/>
    <row r="182" ht="13.2"/>
    <row r="183" ht="13.2"/>
    <row r="184" ht="13.2"/>
    <row r="185" ht="13.2"/>
    <row r="186" ht="13.2"/>
    <row r="187" ht="13.2"/>
    <row r="188" ht="13.2"/>
    <row r="189" ht="13.2"/>
    <row r="190" ht="13.2"/>
    <row r="191" ht="13.2"/>
    <row r="192" ht="13.2"/>
    <row r="193" ht="13.2"/>
    <row r="194" ht="13.2"/>
    <row r="195" ht="13.2"/>
    <row r="196" ht="13.2"/>
    <row r="197" ht="13.2"/>
    <row r="198" ht="13.2"/>
    <row r="199" ht="13.2"/>
    <row r="200" ht="13.2"/>
    <row r="201" ht="13.2"/>
    <row r="202" ht="13.2"/>
    <row r="203" ht="13.2"/>
    <row r="204" ht="13.2"/>
    <row r="205" ht="13.2"/>
    <row r="206" ht="13.2"/>
    <row r="207" ht="13.2"/>
    <row r="208" ht="13.2"/>
    <row r="209" ht="13.2"/>
    <row r="210" ht="13.2"/>
    <row r="211" ht="13.2"/>
    <row r="212" ht="13.2"/>
    <row r="213" ht="13.2"/>
    <row r="214" ht="13.2"/>
    <row r="215" ht="13.2"/>
    <row r="216" ht="13.2"/>
    <row r="217" ht="13.2"/>
    <row r="218" ht="13.2"/>
    <row r="219" ht="13.2"/>
    <row r="220" ht="13.2"/>
    <row r="221" ht="13.2"/>
    <row r="222" ht="13.2"/>
    <row r="223" ht="13.2"/>
    <row r="224" ht="13.2"/>
    <row r="225" ht="13.2"/>
    <row r="226" ht="13.2"/>
    <row r="227" ht="13.2"/>
    <row r="228" ht="13.2"/>
    <row r="229" ht="13.2"/>
    <row r="230" ht="13.2"/>
    <row r="231" ht="13.2"/>
    <row r="232" ht="13.2"/>
    <row r="233" ht="13.2"/>
    <row r="234" ht="13.2"/>
    <row r="235" ht="13.2"/>
    <row r="236" ht="13.2"/>
    <row r="237" ht="13.2"/>
    <row r="238" ht="13.2"/>
    <row r="239" ht="13.2"/>
    <row r="240" ht="13.2"/>
    <row r="241" ht="13.2"/>
    <row r="242" ht="13.2"/>
    <row r="243" ht="13.2"/>
    <row r="244" ht="13.2"/>
    <row r="245" ht="13.2"/>
    <row r="246" ht="13.2"/>
    <row r="247" ht="13.2"/>
    <row r="248" ht="13.2"/>
    <row r="249" ht="13.2"/>
    <row r="250" ht="13.2"/>
    <row r="251" ht="13.2"/>
    <row r="252" ht="13.2"/>
    <row r="253" ht="13.2"/>
    <row r="254" ht="13.2"/>
    <row r="255" ht="13.2"/>
    <row r="256" ht="13.2"/>
    <row r="257" ht="13.2"/>
    <row r="258" ht="13.2"/>
    <row r="259" ht="13.2"/>
    <row r="260" ht="13.2"/>
    <row r="261" ht="13.2"/>
    <row r="262" ht="13.2"/>
    <row r="263" ht="13.2"/>
    <row r="264" ht="13.2"/>
    <row r="265" ht="13.2"/>
    <row r="266" ht="13.2"/>
    <row r="267" ht="13.2"/>
    <row r="268" ht="13.2"/>
    <row r="269" ht="13.2"/>
    <row r="270" ht="13.2"/>
    <row r="271" ht="13.2"/>
    <row r="272" ht="13.2"/>
    <row r="273" ht="13.2"/>
    <row r="274" ht="13.2"/>
    <row r="275" ht="13.2"/>
    <row r="276" ht="13.2"/>
    <row r="277" ht="13.2"/>
    <row r="278" ht="13.2"/>
    <row r="279" ht="13.2"/>
    <row r="280" ht="13.2"/>
    <row r="281" ht="13.2"/>
    <row r="282" ht="13.2"/>
    <row r="283" ht="13.2"/>
    <row r="284" ht="13.2"/>
    <row r="285" ht="13.2"/>
    <row r="286" ht="13.2"/>
    <row r="287" ht="13.2"/>
    <row r="288" ht="13.2"/>
    <row r="289" ht="13.2"/>
    <row r="290" ht="13.2"/>
    <row r="291" ht="13.2"/>
    <row r="292" ht="13.2"/>
    <row r="293" ht="13.2"/>
    <row r="294" ht="13.2"/>
    <row r="295" ht="13.2"/>
    <row r="296" ht="13.2"/>
    <row r="297" ht="13.2"/>
    <row r="298" ht="13.2"/>
    <row r="299" ht="13.2"/>
    <row r="300" ht="13.2"/>
    <row r="301" ht="13.2"/>
    <row r="302" ht="13.2"/>
    <row r="303" ht="13.2"/>
    <row r="304" ht="13.2"/>
    <row r="305" ht="13.2"/>
    <row r="306" ht="13.2"/>
    <row r="307" ht="13.2"/>
    <row r="308" ht="13.2"/>
    <row r="309" ht="13.2"/>
    <row r="310" ht="13.2"/>
    <row r="311" ht="13.2"/>
    <row r="312" ht="13.2"/>
    <row r="313" ht="13.2"/>
    <row r="314" ht="13.2"/>
    <row r="315" ht="13.2"/>
    <row r="316" ht="13.2"/>
    <row r="317" ht="13.2"/>
    <row r="318" ht="13.2"/>
    <row r="319" ht="13.2"/>
    <row r="320" ht="13.2"/>
    <row r="321" ht="13.2"/>
    <row r="322" ht="13.2"/>
    <row r="323" ht="13.2"/>
    <row r="324" ht="13.2"/>
    <row r="325" ht="13.2"/>
    <row r="326" ht="13.2"/>
    <row r="327" ht="13.2"/>
    <row r="328" ht="13.2"/>
    <row r="329" ht="13.2"/>
    <row r="330" ht="13.2"/>
    <row r="331" ht="13.2"/>
    <row r="332" ht="13.2"/>
    <row r="333" ht="13.2"/>
    <row r="334" ht="13.2"/>
    <row r="335" ht="13.2"/>
    <row r="336" ht="13.2"/>
    <row r="337" ht="13.2"/>
    <row r="338" ht="13.2"/>
    <row r="339" ht="13.2"/>
    <row r="340" ht="13.2"/>
    <row r="341" ht="13.2"/>
    <row r="342" ht="13.2"/>
    <row r="343" ht="13.2"/>
    <row r="344" ht="13.2"/>
    <row r="345" ht="13.2"/>
    <row r="346" ht="13.2"/>
    <row r="347" ht="13.2"/>
    <row r="348" ht="13.2"/>
    <row r="349" ht="13.2"/>
    <row r="350" ht="13.2"/>
    <row r="351" ht="13.2"/>
    <row r="352" ht="13.2"/>
    <row r="353" ht="13.2"/>
    <row r="354" ht="13.2"/>
    <row r="355" ht="13.2"/>
    <row r="356" ht="13.2"/>
    <row r="357" ht="13.2"/>
    <row r="358" ht="13.2"/>
    <row r="359" ht="13.2"/>
    <row r="360" ht="13.2"/>
    <row r="361" ht="13.2"/>
    <row r="362" ht="13.2"/>
    <row r="363" ht="13.2"/>
    <row r="364" ht="13.2"/>
    <row r="365" ht="13.2"/>
    <row r="366" ht="13.2"/>
    <row r="367" ht="13.2"/>
    <row r="368" ht="13.2"/>
    <row r="369" ht="13.2"/>
    <row r="370" ht="13.2"/>
    <row r="371" ht="13.2"/>
    <row r="372" ht="13.2"/>
    <row r="373" ht="13.2"/>
    <row r="374" ht="13.2"/>
    <row r="375" ht="13.2"/>
    <row r="376" ht="13.2"/>
    <row r="377" ht="13.2"/>
    <row r="378" ht="13.2"/>
    <row r="379" ht="13.2"/>
    <row r="380" ht="13.2"/>
    <row r="381" ht="13.2"/>
    <row r="382" ht="13.2"/>
    <row r="383" ht="13.2"/>
    <row r="384" ht="13.2"/>
    <row r="385" ht="13.2"/>
    <row r="386" ht="13.2"/>
    <row r="387" ht="13.2"/>
    <row r="388" ht="13.2"/>
    <row r="389" ht="13.2"/>
    <row r="390" ht="13.2"/>
    <row r="391" ht="13.2"/>
    <row r="392" ht="13.2"/>
    <row r="393" ht="13.2"/>
    <row r="394" ht="13.2"/>
    <row r="395" ht="13.2"/>
    <row r="396" ht="13.2"/>
    <row r="397" ht="13.2"/>
    <row r="398" ht="13.2"/>
    <row r="399" ht="13.2"/>
    <row r="400" ht="13.2"/>
    <row r="401" ht="13.2"/>
    <row r="402" ht="13.2"/>
    <row r="403" ht="13.2"/>
    <row r="404" ht="13.2"/>
    <row r="405" ht="13.2"/>
    <row r="406" ht="13.2"/>
    <row r="407" ht="13.2"/>
    <row r="408" ht="13.2"/>
    <row r="409" ht="13.2"/>
    <row r="410" ht="13.2"/>
    <row r="411" ht="13.2"/>
    <row r="412" ht="13.2"/>
    <row r="413" ht="13.2"/>
    <row r="414" ht="13.2"/>
    <row r="415" ht="13.2"/>
    <row r="416" ht="13.2"/>
    <row r="417" ht="13.2"/>
    <row r="418" ht="13.2"/>
    <row r="419" ht="13.2"/>
    <row r="420" ht="13.2"/>
    <row r="421" ht="13.2"/>
    <row r="422" ht="13.2"/>
    <row r="423" ht="13.2"/>
    <row r="424" ht="13.2"/>
    <row r="425" ht="13.2"/>
    <row r="426" ht="13.2"/>
    <row r="427" ht="13.2"/>
    <row r="428" ht="13.2"/>
    <row r="429" ht="13.2"/>
    <row r="430" ht="13.2"/>
    <row r="431" ht="13.2"/>
    <row r="432" ht="13.2"/>
    <row r="433" customFormat="1" ht="13.2"/>
    <row r="434" customFormat="1" ht="13.2"/>
    <row r="435" customFormat="1" ht="13.2"/>
    <row r="436" customFormat="1" ht="13.2"/>
    <row r="437" customFormat="1" ht="13.2"/>
    <row r="438" customFormat="1" ht="13.2"/>
    <row r="439" customFormat="1" ht="13.2"/>
    <row r="440" customFormat="1" ht="13.2"/>
    <row r="441" customFormat="1" ht="13.2"/>
    <row r="442" customFormat="1" ht="13.2"/>
    <row r="443" customFormat="1" ht="13.2"/>
    <row r="444" customFormat="1" ht="13.2"/>
    <row r="445" customFormat="1" ht="13.2"/>
    <row r="446" customFormat="1" ht="13.2"/>
    <row r="447" customFormat="1" ht="13.2"/>
    <row r="448" customFormat="1" ht="13.2"/>
    <row r="449" customFormat="1" ht="13.2"/>
    <row r="450" customFormat="1" ht="13.2"/>
    <row r="451" customFormat="1" ht="13.2"/>
    <row r="452" customFormat="1" ht="13.2"/>
    <row r="453" customFormat="1" ht="13.2"/>
    <row r="454" customFormat="1" ht="13.2"/>
    <row r="455" customFormat="1" ht="13.2"/>
    <row r="456" customFormat="1" ht="13.2"/>
    <row r="457" customFormat="1" ht="13.2"/>
    <row r="458" customFormat="1" ht="13.2"/>
    <row r="459" customFormat="1" ht="13.2"/>
    <row r="460" customFormat="1" ht="13.2"/>
    <row r="461" customFormat="1" ht="13.2"/>
    <row r="462" customFormat="1" ht="13.2"/>
    <row r="463" customFormat="1" ht="13.2"/>
    <row r="464" customFormat="1" ht="13.2"/>
    <row r="465" customFormat="1" ht="13.2"/>
    <row r="466" customFormat="1" ht="13.2"/>
    <row r="467" customFormat="1" ht="13.2"/>
    <row r="468" customFormat="1" ht="13.2"/>
    <row r="469" customFormat="1" ht="13.2"/>
    <row r="470" customFormat="1" ht="13.2"/>
    <row r="471" customFormat="1" ht="13.2"/>
    <row r="472" customFormat="1" ht="13.2"/>
    <row r="473" customFormat="1" ht="13.2"/>
    <row r="474" customFormat="1" ht="13.2"/>
    <row r="475" customFormat="1" ht="13.2"/>
    <row r="476" customFormat="1" ht="13.2"/>
    <row r="477" customFormat="1" ht="13.2"/>
    <row r="478" customFormat="1" ht="13.2"/>
    <row r="479" customFormat="1" ht="13.2"/>
    <row r="480" customFormat="1" ht="13.2"/>
    <row r="481" customFormat="1" ht="13.2"/>
    <row r="482" customFormat="1" ht="13.2"/>
    <row r="483" customFormat="1" ht="13.2"/>
    <row r="484" customFormat="1" ht="13.2"/>
    <row r="485" customFormat="1" ht="13.2"/>
    <row r="486" customFormat="1" ht="13.2"/>
    <row r="487" customFormat="1" ht="13.2"/>
    <row r="488" customFormat="1" ht="13.2"/>
    <row r="489" customFormat="1" ht="13.2"/>
    <row r="490" customFormat="1" ht="13.2"/>
    <row r="491" customFormat="1" ht="13.2"/>
    <row r="492" customFormat="1" ht="13.2"/>
    <row r="493" customFormat="1" ht="13.2"/>
    <row r="494" customFormat="1" ht="13.2"/>
    <row r="495" customFormat="1" ht="13.2"/>
    <row r="496" customFormat="1" ht="13.2"/>
    <row r="497" customFormat="1" ht="13.2"/>
    <row r="498" customFormat="1" ht="13.2"/>
    <row r="499" customFormat="1" ht="13.2"/>
    <row r="500" customFormat="1" ht="13.2"/>
    <row r="501" customFormat="1" ht="13.2"/>
    <row r="502" customFormat="1" ht="13.2"/>
    <row r="503" customFormat="1" ht="13.2"/>
    <row r="504" customFormat="1" ht="13.2"/>
    <row r="505" customFormat="1" ht="13.2"/>
    <row r="506" customFormat="1" ht="13.2"/>
    <row r="507" customFormat="1" ht="13.2"/>
    <row r="508" customFormat="1" ht="13.2"/>
    <row r="509" customFormat="1" ht="13.2"/>
    <row r="510" customFormat="1" ht="13.2"/>
    <row r="511" customFormat="1" ht="13.2"/>
    <row r="512" customFormat="1" ht="13.2"/>
    <row r="513" customFormat="1" ht="13.2"/>
    <row r="514" customFormat="1" ht="13.2"/>
    <row r="515" customFormat="1" ht="13.2"/>
    <row r="516" customFormat="1" ht="13.2"/>
    <row r="517" customFormat="1" ht="13.2"/>
    <row r="518" customFormat="1" ht="13.2"/>
    <row r="519" customFormat="1" ht="13.2"/>
    <row r="520" customFormat="1" ht="13.2"/>
    <row r="521" customFormat="1" ht="13.2"/>
    <row r="522" customFormat="1" ht="13.2"/>
    <row r="523" customFormat="1" ht="13.2"/>
    <row r="524" customFormat="1" ht="13.2"/>
    <row r="525" customFormat="1" ht="13.2"/>
    <row r="526" customFormat="1" ht="13.2"/>
    <row r="527" customFormat="1" ht="13.2"/>
    <row r="528" customFormat="1" ht="13.2"/>
    <row r="529" customFormat="1" ht="13.2"/>
    <row r="530" customFormat="1" ht="13.2"/>
    <row r="531" customFormat="1" ht="13.2"/>
    <row r="532" customFormat="1" ht="13.2"/>
    <row r="533" customFormat="1" ht="13.2"/>
    <row r="534" customFormat="1" ht="13.2"/>
    <row r="535" customFormat="1" ht="13.2"/>
    <row r="536" customFormat="1" ht="13.2"/>
    <row r="537" customFormat="1" ht="13.2"/>
    <row r="538" customFormat="1" ht="13.2"/>
    <row r="539" customFormat="1" ht="13.2"/>
    <row r="540" customFormat="1" ht="13.2"/>
    <row r="541" customFormat="1" ht="13.2"/>
    <row r="542" customFormat="1" ht="13.2"/>
    <row r="543" customFormat="1" ht="13.2"/>
    <row r="544" customFormat="1" ht="13.2"/>
    <row r="545" customFormat="1" ht="13.2"/>
    <row r="546" customFormat="1" ht="13.2"/>
    <row r="547" customFormat="1" ht="13.2"/>
    <row r="548" customFormat="1" ht="13.2"/>
    <row r="549" customFormat="1" ht="13.2"/>
    <row r="550" customFormat="1" ht="13.2"/>
    <row r="551" customFormat="1" ht="13.2"/>
    <row r="552" customFormat="1" ht="13.2"/>
    <row r="553" customFormat="1" ht="13.2"/>
    <row r="554" customFormat="1" ht="13.2"/>
    <row r="555" customFormat="1" ht="13.2"/>
    <row r="556" customFormat="1" ht="13.2"/>
    <row r="557" customFormat="1" ht="13.2"/>
    <row r="558" customFormat="1" ht="13.2"/>
    <row r="559" customFormat="1" ht="13.2"/>
    <row r="560" customFormat="1" ht="13.2"/>
    <row r="561" customFormat="1" ht="13.2"/>
    <row r="562" customFormat="1" ht="13.2"/>
    <row r="563" customFormat="1" ht="13.2"/>
    <row r="564" customFormat="1" ht="13.2"/>
    <row r="565" customFormat="1" ht="13.2"/>
    <row r="566" customFormat="1" ht="13.2"/>
    <row r="567" customFormat="1" ht="13.2"/>
    <row r="568" customFormat="1" ht="13.2"/>
    <row r="569" customFormat="1" ht="13.2"/>
    <row r="570" customFormat="1" ht="13.2"/>
    <row r="571" customFormat="1" ht="13.2"/>
    <row r="572" customFormat="1" ht="13.2"/>
    <row r="573" customFormat="1" ht="13.2"/>
    <row r="574" customFormat="1" ht="13.2"/>
    <row r="575" customFormat="1" ht="13.2"/>
    <row r="576" customFormat="1" ht="13.2"/>
    <row r="577" customFormat="1" ht="13.2"/>
    <row r="578" customFormat="1" ht="13.2"/>
    <row r="579" customFormat="1" ht="13.2"/>
    <row r="580" customFormat="1" ht="13.2"/>
    <row r="581" customFormat="1" ht="13.2"/>
    <row r="582" customFormat="1" ht="13.2"/>
    <row r="583" customFormat="1" ht="13.2"/>
    <row r="584" customFormat="1" ht="13.2"/>
    <row r="585" customFormat="1" ht="13.2"/>
    <row r="586" customFormat="1" ht="13.2"/>
    <row r="587" customFormat="1" ht="13.2"/>
    <row r="588" customFormat="1" ht="13.2"/>
    <row r="589" customFormat="1" ht="13.2"/>
    <row r="590" customFormat="1" ht="13.2"/>
    <row r="591" customFormat="1" ht="13.2"/>
    <row r="592" customFormat="1" ht="13.2"/>
    <row r="593" customFormat="1" ht="13.2"/>
    <row r="594" customFormat="1" ht="13.2"/>
    <row r="595" customFormat="1" ht="13.2"/>
    <row r="596" customFormat="1" ht="13.2"/>
    <row r="597" customFormat="1" ht="13.2"/>
    <row r="598" customFormat="1" ht="13.2"/>
    <row r="599" customFormat="1" ht="13.2"/>
    <row r="600" customFormat="1" ht="13.2"/>
    <row r="601" customFormat="1" ht="13.2"/>
    <row r="602" customFormat="1" ht="13.2"/>
    <row r="603" customFormat="1" ht="13.2"/>
    <row r="604" customFormat="1" ht="13.2"/>
    <row r="605" customFormat="1" ht="13.2"/>
    <row r="606" customFormat="1" ht="13.2"/>
    <row r="607" customFormat="1" ht="13.2"/>
    <row r="608" customFormat="1" ht="13.2"/>
    <row r="609" customFormat="1" ht="13.2"/>
    <row r="610" customFormat="1" ht="13.2"/>
    <row r="611" customFormat="1" ht="13.2"/>
    <row r="612" customFormat="1" ht="13.2"/>
    <row r="613" customFormat="1" ht="13.2"/>
    <row r="614" customFormat="1" ht="13.2"/>
    <row r="615" customFormat="1" ht="13.2"/>
    <row r="616" customFormat="1" ht="13.2"/>
    <row r="617" customFormat="1" ht="13.2"/>
    <row r="618" customFormat="1" ht="13.2"/>
    <row r="619" customFormat="1" ht="13.2"/>
    <row r="620" customFormat="1" ht="13.2"/>
    <row r="621" customFormat="1" ht="13.2"/>
    <row r="622" customFormat="1" ht="13.2"/>
    <row r="623" customFormat="1" ht="13.2"/>
    <row r="624" customFormat="1" ht="13.2"/>
    <row r="625" customFormat="1" ht="13.2"/>
    <row r="626" customFormat="1" ht="13.2"/>
    <row r="627" customFormat="1" ht="13.2"/>
    <row r="628" customFormat="1" ht="13.2"/>
    <row r="629" customFormat="1" ht="13.2"/>
    <row r="630" customFormat="1" ht="13.2"/>
    <row r="631" customFormat="1" ht="13.2"/>
    <row r="632" customFormat="1" ht="13.2"/>
    <row r="633" customFormat="1" ht="13.2"/>
    <row r="634" customFormat="1" ht="13.2"/>
    <row r="635" customFormat="1" ht="13.2"/>
    <row r="636" customFormat="1" ht="13.2"/>
    <row r="637" customFormat="1" ht="13.2"/>
    <row r="638" customFormat="1" ht="13.2"/>
    <row r="639" customFormat="1" ht="13.2"/>
    <row r="640" customFormat="1" ht="13.2"/>
    <row r="641" customFormat="1" ht="13.2"/>
    <row r="642" customFormat="1" ht="13.2"/>
    <row r="643" customFormat="1" ht="13.2"/>
    <row r="644" customFormat="1" ht="13.2"/>
    <row r="645" customFormat="1" ht="13.2"/>
    <row r="646" customFormat="1" ht="13.2"/>
    <row r="647" customFormat="1" ht="13.2"/>
    <row r="648" customFormat="1" ht="13.2"/>
    <row r="649" customFormat="1" ht="13.2"/>
    <row r="650" customFormat="1" ht="13.2"/>
    <row r="651" customFormat="1" ht="13.2"/>
    <row r="652" customFormat="1" ht="13.2"/>
    <row r="653" customFormat="1" ht="13.2"/>
    <row r="654" customFormat="1" ht="13.2"/>
    <row r="655" customFormat="1" ht="13.2"/>
    <row r="656" customFormat="1" ht="13.2"/>
    <row r="657" customFormat="1" ht="13.2"/>
    <row r="658" customFormat="1" ht="13.2"/>
    <row r="659" customFormat="1" ht="13.2"/>
    <row r="660" customFormat="1" ht="13.2"/>
    <row r="661" customFormat="1" ht="13.2"/>
    <row r="662" customFormat="1" ht="13.2"/>
    <row r="663" customFormat="1" ht="13.2"/>
    <row r="664" customFormat="1" ht="13.2"/>
    <row r="665" customFormat="1" ht="13.2"/>
    <row r="666" customFormat="1" ht="13.2"/>
    <row r="667" customFormat="1" ht="13.2"/>
    <row r="668" customFormat="1" ht="13.2"/>
    <row r="669" customFormat="1" ht="13.2"/>
    <row r="670" customFormat="1" ht="13.2"/>
    <row r="671" customFormat="1" ht="13.2"/>
    <row r="672" customFormat="1" ht="13.2"/>
    <row r="673" customFormat="1" ht="13.2"/>
    <row r="674" customFormat="1" ht="13.2"/>
    <row r="675" customFormat="1" ht="13.2"/>
    <row r="676" customFormat="1" ht="13.2"/>
    <row r="677" customFormat="1" ht="13.2"/>
    <row r="678" customFormat="1" ht="13.2"/>
    <row r="679" customFormat="1" ht="13.2"/>
    <row r="680" customFormat="1" ht="13.2"/>
    <row r="681" customFormat="1" ht="13.2"/>
    <row r="682" customFormat="1" ht="13.2"/>
    <row r="683" customFormat="1" ht="13.2"/>
    <row r="684" customFormat="1" ht="13.2"/>
    <row r="685" customFormat="1" ht="13.2"/>
    <row r="686" customFormat="1" ht="13.2"/>
    <row r="687" customFormat="1" ht="13.2"/>
    <row r="688" customFormat="1" ht="13.2"/>
    <row r="689" customFormat="1" ht="13.2"/>
    <row r="690" customFormat="1" ht="13.2"/>
    <row r="691" customFormat="1" ht="13.2"/>
    <row r="692" customFormat="1" ht="13.2"/>
    <row r="693" customFormat="1" ht="13.2"/>
    <row r="694" customFormat="1" ht="13.2"/>
    <row r="695" customFormat="1" ht="13.2"/>
    <row r="696" customFormat="1" ht="13.2"/>
    <row r="697" customFormat="1" ht="13.2"/>
    <row r="698" customFormat="1" ht="13.2"/>
    <row r="699" customFormat="1" ht="13.2"/>
    <row r="700" customFormat="1" ht="13.2"/>
    <row r="701" customFormat="1" ht="13.2"/>
    <row r="702" customFormat="1" ht="13.2"/>
    <row r="703" customFormat="1" ht="13.2"/>
    <row r="704" customFormat="1" ht="13.2"/>
    <row r="705" customFormat="1" ht="13.2"/>
    <row r="706" customFormat="1" ht="13.2"/>
    <row r="707" customFormat="1" ht="13.2"/>
    <row r="708" customFormat="1" ht="13.2"/>
    <row r="709" customFormat="1" ht="13.2"/>
    <row r="710" customFormat="1" ht="13.2"/>
    <row r="711" customFormat="1" ht="13.2"/>
    <row r="712" customFormat="1" ht="13.2"/>
    <row r="713" customFormat="1" ht="13.2"/>
    <row r="714" customFormat="1" ht="13.2"/>
    <row r="715" customFormat="1" ht="13.2"/>
    <row r="716" customFormat="1" ht="13.2"/>
    <row r="717" customFormat="1" ht="13.2"/>
    <row r="718" customFormat="1" ht="13.2"/>
    <row r="719" customFormat="1" ht="13.2"/>
    <row r="720" customFormat="1" ht="13.2"/>
    <row r="721" customFormat="1" ht="13.2"/>
    <row r="722" customFormat="1" ht="13.2"/>
    <row r="723" customFormat="1" ht="13.2"/>
    <row r="724" customFormat="1" ht="13.2"/>
    <row r="725" customFormat="1" ht="13.2"/>
    <row r="726" customFormat="1" ht="13.2"/>
    <row r="727" customFormat="1" ht="13.2"/>
    <row r="728" customFormat="1" ht="13.2"/>
    <row r="729" customFormat="1" ht="13.2"/>
    <row r="730" customFormat="1" ht="13.2"/>
    <row r="731" customFormat="1" ht="13.2"/>
    <row r="732" customFormat="1" ht="13.2"/>
    <row r="733" customFormat="1" ht="13.2"/>
    <row r="734" customFormat="1" ht="13.2"/>
    <row r="735" customFormat="1" ht="13.2"/>
    <row r="736" customFormat="1" ht="13.2"/>
    <row r="737" customFormat="1" ht="13.2"/>
    <row r="738" customFormat="1" ht="13.2"/>
    <row r="739" customFormat="1" ht="13.2"/>
    <row r="740" customFormat="1" ht="13.2"/>
    <row r="741" customFormat="1" ht="13.2"/>
    <row r="742" customFormat="1" ht="13.2"/>
    <row r="743" customFormat="1" ht="13.2"/>
    <row r="744" customFormat="1" ht="13.2"/>
    <row r="745" customFormat="1" ht="13.2"/>
    <row r="746" customFormat="1" ht="13.2"/>
    <row r="747" customFormat="1" ht="13.2"/>
    <row r="748" customFormat="1" ht="13.2"/>
    <row r="749" customFormat="1" ht="13.2"/>
    <row r="750" customFormat="1" ht="13.2"/>
    <row r="751" customFormat="1" ht="13.2"/>
    <row r="752" customFormat="1" ht="13.2"/>
    <row r="753" customFormat="1" ht="13.2"/>
    <row r="754" customFormat="1" ht="13.2"/>
    <row r="755" customFormat="1" ht="13.2"/>
    <row r="756" customFormat="1" ht="13.2"/>
    <row r="757" customFormat="1" ht="13.2"/>
    <row r="758" customFormat="1" ht="13.2"/>
    <row r="759" customFormat="1" ht="13.2"/>
    <row r="760" customFormat="1" ht="13.2"/>
    <row r="761" customFormat="1" ht="13.2"/>
    <row r="762" customFormat="1" ht="13.2"/>
    <row r="763" customFormat="1" ht="13.2"/>
    <row r="764" customFormat="1" ht="13.2"/>
    <row r="765" customFormat="1" ht="13.2"/>
    <row r="766" customFormat="1" ht="13.2"/>
    <row r="767" customFormat="1" ht="13.2"/>
    <row r="768" customFormat="1" ht="13.2"/>
    <row r="769" customFormat="1" ht="13.2"/>
    <row r="770" customFormat="1" ht="13.2"/>
    <row r="771" customFormat="1" ht="13.2"/>
    <row r="772" customFormat="1" ht="13.2"/>
    <row r="773" customFormat="1" ht="13.2"/>
    <row r="774" customFormat="1" ht="13.2"/>
    <row r="775" customFormat="1" ht="13.2"/>
    <row r="776" customFormat="1" ht="13.2"/>
    <row r="777" customFormat="1" ht="13.2"/>
    <row r="778" customFormat="1" ht="13.2"/>
    <row r="779" customFormat="1" ht="13.2"/>
    <row r="780" customFormat="1" ht="13.2"/>
    <row r="781" customFormat="1" ht="13.2"/>
    <row r="782" customFormat="1" ht="13.2"/>
    <row r="783" customFormat="1" ht="13.2"/>
    <row r="784" customFormat="1" ht="13.2"/>
    <row r="785" customFormat="1" ht="13.2"/>
    <row r="786" customFormat="1" ht="13.2"/>
    <row r="787" customFormat="1" ht="13.2"/>
    <row r="788" customFormat="1" ht="13.2"/>
    <row r="789" customFormat="1" ht="13.2"/>
    <row r="790" customFormat="1" ht="13.2"/>
    <row r="791" customFormat="1" ht="13.2"/>
    <row r="792" customFormat="1" ht="13.2"/>
    <row r="793" customFormat="1" ht="13.2"/>
    <row r="794" customFormat="1" ht="13.2"/>
    <row r="795" customFormat="1" ht="13.2"/>
    <row r="796" customFormat="1" ht="13.2"/>
    <row r="797" customFormat="1" ht="13.2"/>
    <row r="798" customFormat="1" ht="13.2"/>
    <row r="799" customFormat="1" ht="13.2"/>
    <row r="800" customFormat="1" ht="13.2"/>
    <row r="801" customFormat="1" ht="13.2"/>
    <row r="802" customFormat="1" ht="13.2"/>
    <row r="803" customFormat="1" ht="13.2"/>
    <row r="804" customFormat="1" ht="13.2"/>
    <row r="805" customFormat="1" ht="13.2"/>
    <row r="806" customFormat="1" ht="13.2"/>
    <row r="807" customFormat="1" ht="13.2"/>
    <row r="808" customFormat="1" ht="13.2"/>
    <row r="809" customFormat="1" ht="13.2"/>
    <row r="810" customFormat="1" ht="13.2"/>
    <row r="811" customFormat="1" ht="13.2"/>
    <row r="812" customFormat="1" ht="13.2"/>
    <row r="813" customFormat="1" ht="13.2"/>
    <row r="814" customFormat="1" ht="13.2"/>
    <row r="815" customFormat="1" ht="13.2"/>
    <row r="816" customFormat="1" ht="13.2"/>
    <row r="817" customFormat="1" ht="13.2"/>
    <row r="818" customFormat="1" ht="13.2"/>
    <row r="819" customFormat="1" ht="13.2"/>
    <row r="820" customFormat="1" ht="13.2"/>
    <row r="821" customFormat="1" ht="13.2"/>
    <row r="822" customFormat="1" ht="13.2"/>
    <row r="823" customFormat="1" ht="13.2"/>
    <row r="824" customFormat="1" ht="13.2"/>
    <row r="825" customFormat="1" ht="13.2"/>
    <row r="826" customFormat="1" ht="13.2"/>
    <row r="827" customFormat="1" ht="13.2"/>
    <row r="828" customFormat="1" ht="13.2"/>
    <row r="829" customFormat="1" ht="13.2"/>
    <row r="830" customFormat="1" ht="13.2"/>
    <row r="831" customFormat="1" ht="13.2"/>
    <row r="832" customFormat="1" ht="13.2"/>
    <row r="833" customFormat="1" ht="13.2"/>
    <row r="834" customFormat="1" ht="13.2"/>
    <row r="835" customFormat="1" ht="13.2"/>
    <row r="836" customFormat="1" ht="13.2"/>
    <row r="837" customFormat="1" ht="13.2"/>
    <row r="838" customFormat="1" ht="13.2"/>
    <row r="839" customFormat="1" ht="13.2"/>
    <row r="840" customFormat="1" ht="13.2"/>
    <row r="841" customFormat="1" ht="13.2"/>
    <row r="842" customFormat="1" ht="13.2"/>
    <row r="843" customFormat="1" ht="13.2"/>
    <row r="844" customFormat="1" ht="13.2"/>
    <row r="845" customFormat="1" ht="13.2"/>
    <row r="846" customFormat="1" ht="13.2"/>
    <row r="847" customFormat="1" ht="13.2"/>
    <row r="848" customFormat="1" ht="13.2"/>
    <row r="849" customFormat="1" ht="13.2"/>
    <row r="850" customFormat="1" ht="13.2"/>
    <row r="851" customFormat="1" ht="13.2"/>
    <row r="852" customFormat="1" ht="13.2"/>
    <row r="853" customFormat="1" ht="13.2"/>
    <row r="854" customFormat="1" ht="13.2"/>
    <row r="855" customFormat="1" ht="13.2"/>
    <row r="856" customFormat="1" ht="13.2"/>
    <row r="857" customFormat="1" ht="13.2"/>
    <row r="858" customFormat="1" ht="13.2"/>
    <row r="859" customFormat="1" ht="13.2"/>
    <row r="860" customFormat="1" ht="13.2"/>
    <row r="861" customFormat="1" ht="13.2"/>
    <row r="862" customFormat="1" ht="13.2"/>
    <row r="863" customFormat="1" ht="13.2"/>
    <row r="864" customFormat="1" ht="13.2"/>
    <row r="865" customFormat="1" ht="13.2"/>
    <row r="866" customFormat="1" ht="13.2"/>
    <row r="867" customFormat="1" ht="13.2"/>
    <row r="868" customFormat="1" ht="13.2"/>
    <row r="869" customFormat="1" ht="13.2"/>
    <row r="870" customFormat="1" ht="13.2"/>
    <row r="871" customFormat="1" ht="13.2"/>
    <row r="872" customFormat="1" ht="13.2"/>
    <row r="873" customFormat="1" ht="13.2"/>
    <row r="874" customFormat="1" ht="13.2"/>
    <row r="875" customFormat="1" ht="13.2"/>
    <row r="876" customFormat="1" ht="13.2"/>
    <row r="877" customFormat="1" ht="13.2"/>
    <row r="878" customFormat="1" ht="13.2"/>
    <row r="879" customFormat="1" ht="13.2"/>
    <row r="880" customFormat="1" ht="13.2"/>
    <row r="881" customFormat="1" ht="13.2"/>
    <row r="882" customFormat="1" ht="13.2"/>
    <row r="883" customFormat="1" ht="13.2"/>
    <row r="884" customFormat="1" ht="13.2"/>
    <row r="885" customFormat="1" ht="13.2"/>
    <row r="886" customFormat="1" ht="13.2"/>
    <row r="887" customFormat="1" ht="13.2"/>
    <row r="888" customFormat="1" ht="13.2"/>
    <row r="889" customFormat="1" ht="13.2"/>
    <row r="890" customFormat="1" ht="13.2"/>
    <row r="891" customFormat="1" ht="13.2"/>
    <row r="892" customFormat="1" ht="13.2"/>
    <row r="893" customFormat="1" ht="13.2"/>
    <row r="894" customFormat="1" ht="13.2"/>
    <row r="895" customFormat="1" ht="13.2"/>
    <row r="896" customFormat="1" ht="13.2"/>
    <row r="897" customFormat="1" ht="13.2"/>
    <row r="898" customFormat="1" ht="13.2"/>
    <row r="899" customFormat="1" ht="13.2"/>
    <row r="900" customFormat="1" ht="13.2"/>
    <row r="901" customFormat="1" ht="13.2"/>
    <row r="902" customFormat="1" ht="13.2"/>
    <row r="903" customFormat="1" ht="13.2"/>
    <row r="904" customFormat="1" ht="13.2"/>
    <row r="905" customFormat="1" ht="13.2"/>
    <row r="906" customFormat="1" ht="13.2"/>
    <row r="907" customFormat="1" ht="13.2"/>
    <row r="908" customFormat="1" ht="13.2"/>
    <row r="909" customFormat="1" ht="13.2"/>
    <row r="910" customFormat="1" ht="13.2"/>
    <row r="911" customFormat="1" ht="13.2"/>
    <row r="912" customFormat="1" ht="13.2"/>
    <row r="913" customFormat="1" ht="13.2"/>
    <row r="914" customFormat="1" ht="13.2"/>
    <row r="915" customFormat="1" ht="13.2"/>
    <row r="916" customFormat="1" ht="13.2"/>
    <row r="917" customFormat="1" ht="13.2"/>
    <row r="918" customFormat="1" ht="13.2"/>
    <row r="919" customFormat="1" ht="13.2"/>
    <row r="920" customFormat="1" ht="13.2"/>
    <row r="921" customFormat="1" ht="13.2"/>
    <row r="922" customFormat="1" ht="13.2"/>
    <row r="923" customFormat="1" ht="13.2"/>
    <row r="924" customFormat="1" ht="13.2"/>
    <row r="925" customFormat="1" ht="13.2"/>
    <row r="926" customFormat="1" ht="13.2"/>
    <row r="927" customFormat="1" ht="13.2"/>
    <row r="928" customFormat="1" ht="13.2"/>
    <row r="929" customFormat="1" ht="13.2"/>
    <row r="930" customFormat="1" ht="13.2"/>
    <row r="931" customFormat="1" ht="13.2"/>
    <row r="932" customFormat="1" ht="13.2"/>
    <row r="933" customFormat="1" ht="13.2"/>
    <row r="934" customFormat="1" ht="13.2"/>
    <row r="935" customFormat="1" ht="13.2"/>
    <row r="936" customFormat="1" ht="13.2"/>
    <row r="937" customFormat="1" ht="13.2"/>
    <row r="938" customFormat="1" ht="13.2"/>
    <row r="939" customFormat="1" ht="13.2"/>
    <row r="940" customFormat="1" ht="13.2"/>
    <row r="941" customFormat="1" ht="13.2"/>
    <row r="942" customFormat="1" ht="13.2"/>
    <row r="943" customFormat="1" ht="13.2"/>
    <row r="944" customFormat="1" ht="13.2"/>
    <row r="945" customFormat="1" ht="13.2"/>
    <row r="946" customFormat="1" ht="13.2"/>
    <row r="947" customFormat="1" ht="13.2"/>
    <row r="948" customFormat="1" ht="13.2"/>
    <row r="949" customFormat="1" ht="13.2"/>
    <row r="950" customFormat="1" ht="13.2"/>
    <row r="951" customFormat="1" ht="13.2"/>
    <row r="952" customFormat="1" ht="13.2"/>
    <row r="953" customFormat="1" ht="13.2"/>
    <row r="954" customFormat="1" ht="13.2"/>
    <row r="955" customFormat="1" ht="13.2"/>
    <row r="956" customFormat="1" ht="13.2"/>
    <row r="957" customFormat="1" ht="13.2"/>
    <row r="958" customFormat="1" ht="13.2"/>
    <row r="959" customFormat="1" ht="13.2"/>
    <row r="960" customFormat="1" ht="13.2"/>
    <row r="961" customFormat="1" ht="13.2"/>
    <row r="962" customFormat="1" ht="13.2"/>
    <row r="963" customFormat="1" ht="13.2"/>
    <row r="964" customFormat="1" ht="13.2"/>
    <row r="965" customFormat="1" ht="13.2"/>
    <row r="966" customFormat="1" ht="13.2"/>
    <row r="967" customFormat="1" ht="13.2"/>
    <row r="968" customFormat="1" ht="13.2"/>
    <row r="969" customFormat="1" ht="13.2"/>
    <row r="970" customFormat="1" ht="13.2"/>
    <row r="971" customFormat="1" ht="13.2"/>
    <row r="972" customFormat="1" ht="13.2"/>
    <row r="973" customFormat="1" ht="13.2"/>
    <row r="974" customFormat="1" ht="13.2"/>
    <row r="975" customFormat="1" ht="13.2"/>
    <row r="976" customFormat="1" ht="13.2"/>
    <row r="977" customFormat="1" ht="13.2"/>
    <row r="978" customFormat="1" ht="13.2"/>
    <row r="979" customFormat="1" ht="13.2"/>
    <row r="980" customFormat="1" ht="13.2"/>
    <row r="981" customFormat="1" ht="13.2"/>
    <row r="982" customFormat="1" ht="13.2"/>
    <row r="983" customFormat="1" ht="13.2"/>
    <row r="984" customFormat="1" ht="13.2"/>
    <row r="985" customFormat="1" ht="13.2"/>
    <row r="986" customFormat="1" ht="13.2"/>
    <row r="987" customFormat="1" ht="13.2"/>
    <row r="988" customFormat="1" ht="13.2"/>
    <row r="989" customFormat="1" ht="13.2"/>
    <row r="990" customFormat="1" ht="13.2"/>
    <row r="991" customFormat="1" ht="13.2"/>
    <row r="992" customFormat="1" ht="13.2"/>
    <row r="993" customFormat="1" ht="13.2"/>
    <row r="994" customFormat="1" ht="13.2"/>
    <row r="995" customFormat="1" ht="13.2"/>
    <row r="996" customFormat="1" ht="13.2"/>
    <row r="997" customFormat="1" ht="13.2"/>
    <row r="998" customFormat="1" ht="13.2"/>
    <row r="999" customFormat="1" ht="13.2"/>
    <row r="1000" customFormat="1" ht="13.2"/>
  </sheetData>
  <mergeCells count="59">
    <mergeCell ref="C86:C89"/>
    <mergeCell ref="C90:C93"/>
    <mergeCell ref="B94:B109"/>
    <mergeCell ref="C94:C97"/>
    <mergeCell ref="C98:C100"/>
    <mergeCell ref="C101:C105"/>
    <mergeCell ref="C106:C109"/>
    <mergeCell ref="P51:Q51"/>
    <mergeCell ref="A53:A72"/>
    <mergeCell ref="B53:B60"/>
    <mergeCell ref="C53:C56"/>
    <mergeCell ref="C57:C60"/>
    <mergeCell ref="B61:B69"/>
    <mergeCell ref="C61:C64"/>
    <mergeCell ref="C65:C69"/>
    <mergeCell ref="B70:B72"/>
    <mergeCell ref="C70:C72"/>
    <mergeCell ref="O39:P40"/>
    <mergeCell ref="Q39:R40"/>
    <mergeCell ref="O41:R41"/>
    <mergeCell ref="O42:R42"/>
    <mergeCell ref="P43:Q43"/>
    <mergeCell ref="B35:C35"/>
    <mergeCell ref="H35:I35"/>
    <mergeCell ref="O36:R36"/>
    <mergeCell ref="O37:R37"/>
    <mergeCell ref="O38:R38"/>
    <mergeCell ref="L1:M1"/>
    <mergeCell ref="N1:Q1"/>
    <mergeCell ref="R1:S1"/>
    <mergeCell ref="B21:D21"/>
    <mergeCell ref="E21:K21"/>
    <mergeCell ref="L21:M21"/>
    <mergeCell ref="N21:Q21"/>
    <mergeCell ref="R21:S21"/>
    <mergeCell ref="A73:A85"/>
    <mergeCell ref="B73:B77"/>
    <mergeCell ref="C73:C75"/>
    <mergeCell ref="P75:S91"/>
    <mergeCell ref="C76:C77"/>
    <mergeCell ref="B78:B79"/>
    <mergeCell ref="C78:C79"/>
    <mergeCell ref="B80:B85"/>
    <mergeCell ref="C80:C85"/>
    <mergeCell ref="A86:A128"/>
    <mergeCell ref="B86:B93"/>
    <mergeCell ref="B110:B113"/>
    <mergeCell ref="C110:C113"/>
    <mergeCell ref="B114:B120"/>
    <mergeCell ref="C114:C117"/>
    <mergeCell ref="C118:C120"/>
    <mergeCell ref="B121:B124"/>
    <mergeCell ref="C121:C124"/>
    <mergeCell ref="B125:B128"/>
    <mergeCell ref="C125:C128"/>
    <mergeCell ref="B1:D1"/>
    <mergeCell ref="E1:K1"/>
    <mergeCell ref="O45:R45"/>
    <mergeCell ref="O46:R46"/>
  </mergeCells>
  <pageMargins left="0.7" right="0.7" top="0.75" bottom="0.75" header="0" footer="0"/>
  <pageSetup orientation="landscape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O1000"/>
  <sheetViews>
    <sheetView workbookViewId="0">
      <selection activeCell="C1" sqref="C1"/>
    </sheetView>
  </sheetViews>
  <sheetFormatPr defaultColWidth="12.6640625" defaultRowHeight="15" customHeight="1"/>
  <cols>
    <col min="1" max="1" width="5.6640625" customWidth="1"/>
    <col min="2" max="2" width="20.21875" customWidth="1"/>
    <col min="3" max="3" width="19.44140625" customWidth="1"/>
    <col min="4" max="4" width="20.77734375" customWidth="1"/>
    <col min="5" max="5" width="27.44140625" customWidth="1"/>
    <col min="6" max="6" width="26.88671875" customWidth="1"/>
    <col min="7" max="7" width="17.44140625" customWidth="1"/>
    <col min="8" max="8" width="21.44140625" customWidth="1"/>
    <col min="9" max="9" width="21.21875" customWidth="1"/>
    <col min="10" max="10" width="28.21875" customWidth="1"/>
    <col min="11" max="11" width="23.109375" customWidth="1"/>
    <col min="12" max="12" width="19.88671875" customWidth="1"/>
    <col min="13" max="13" width="21.33203125" customWidth="1"/>
    <col min="14" max="14" width="10.6640625" customWidth="1"/>
    <col min="15" max="15" width="12.77734375" customWidth="1"/>
    <col min="16" max="26" width="10.6640625" customWidth="1"/>
  </cols>
  <sheetData>
    <row r="1" spans="1:15" ht="14.25" customHeight="1" thickBot="1">
      <c r="A1" s="763"/>
      <c r="B1" s="42"/>
      <c r="C1" s="761"/>
      <c r="D1" s="761"/>
      <c r="E1" s="761"/>
      <c r="F1" s="761"/>
      <c r="G1" s="761"/>
      <c r="H1" s="764"/>
      <c r="I1" s="764"/>
      <c r="J1" s="764"/>
      <c r="K1" s="761"/>
      <c r="L1" s="761"/>
      <c r="M1" s="764"/>
      <c r="N1" s="761"/>
    </row>
    <row r="2" spans="1:15" ht="14.25" customHeight="1">
      <c r="A2" s="761"/>
      <c r="B2" s="765" t="s">
        <v>749</v>
      </c>
      <c r="C2" s="766"/>
      <c r="D2" s="766"/>
      <c r="E2" s="766"/>
      <c r="F2" s="766"/>
      <c r="G2" s="766"/>
      <c r="H2" s="766"/>
      <c r="I2" s="766"/>
      <c r="J2" s="766"/>
      <c r="K2" s="766"/>
      <c r="L2" s="766"/>
      <c r="M2" s="766"/>
      <c r="N2" s="761"/>
    </row>
    <row r="3" spans="1:15" ht="14.25" customHeight="1" thickBot="1">
      <c r="A3" s="761"/>
      <c r="B3" s="767"/>
      <c r="C3" s="768"/>
      <c r="D3" s="768"/>
      <c r="E3" s="768"/>
      <c r="F3" s="768"/>
      <c r="G3" s="768"/>
      <c r="H3" s="768"/>
      <c r="I3" s="768"/>
      <c r="J3" s="768"/>
      <c r="K3" s="768"/>
      <c r="L3" s="768"/>
      <c r="M3" s="768"/>
      <c r="N3" s="761"/>
    </row>
    <row r="4" spans="1:15" ht="14.25" customHeight="1" thickBot="1">
      <c r="A4" s="761"/>
      <c r="B4" s="761"/>
      <c r="C4" s="761"/>
      <c r="D4" s="761"/>
      <c r="E4" s="761"/>
      <c r="F4" s="761"/>
      <c r="G4" s="761"/>
      <c r="H4" s="764"/>
      <c r="I4" s="764"/>
      <c r="J4" s="764"/>
      <c r="K4" s="761"/>
      <c r="L4" s="761"/>
      <c r="M4" s="764"/>
      <c r="N4" s="761"/>
    </row>
    <row r="5" spans="1:15" ht="14.25" customHeight="1">
      <c r="A5" s="762"/>
      <c r="B5" s="769" t="s">
        <v>79</v>
      </c>
      <c r="C5" s="770" t="s">
        <v>381</v>
      </c>
      <c r="D5" s="770" t="s">
        <v>382</v>
      </c>
      <c r="E5" s="770" t="s">
        <v>383</v>
      </c>
      <c r="F5" s="770" t="s">
        <v>384</v>
      </c>
      <c r="G5" s="770" t="s">
        <v>385</v>
      </c>
      <c r="H5" s="770" t="s">
        <v>386</v>
      </c>
      <c r="I5" s="770" t="s">
        <v>387</v>
      </c>
      <c r="J5" s="770" t="s">
        <v>388</v>
      </c>
      <c r="K5" s="770" t="s">
        <v>389</v>
      </c>
      <c r="L5" s="770" t="s">
        <v>390</v>
      </c>
      <c r="M5" s="771" t="s">
        <v>391</v>
      </c>
      <c r="N5" s="762"/>
    </row>
    <row r="6" spans="1:15" ht="27.75" customHeight="1">
      <c r="A6" s="762"/>
      <c r="B6" s="772" t="s">
        <v>392</v>
      </c>
      <c r="C6" s="773" t="s">
        <v>26</v>
      </c>
      <c r="D6" s="773" t="s">
        <v>333</v>
      </c>
      <c r="E6" s="774" t="s">
        <v>750</v>
      </c>
      <c r="F6" s="775" t="s">
        <v>393</v>
      </c>
      <c r="G6" s="773">
        <v>1</v>
      </c>
      <c r="H6" s="773" t="s">
        <v>394</v>
      </c>
      <c r="I6" s="773" t="s">
        <v>752</v>
      </c>
      <c r="J6" s="776">
        <v>46142</v>
      </c>
      <c r="K6" s="773" t="s">
        <v>395</v>
      </c>
      <c r="L6" s="773" t="s">
        <v>753</v>
      </c>
      <c r="M6" s="777" t="s">
        <v>396</v>
      </c>
      <c r="N6" s="762"/>
    </row>
    <row r="7" spans="1:15" ht="14.25" customHeight="1">
      <c r="A7" s="778"/>
      <c r="B7" s="779" t="s">
        <v>397</v>
      </c>
      <c r="C7" s="780" t="s">
        <v>26</v>
      </c>
      <c r="D7" s="781" t="s">
        <v>333</v>
      </c>
      <c r="E7" s="782" t="s">
        <v>750</v>
      </c>
      <c r="F7" s="783">
        <v>0.15</v>
      </c>
      <c r="G7" s="784">
        <v>1</v>
      </c>
      <c r="H7" s="780" t="s">
        <v>398</v>
      </c>
      <c r="I7" s="784" t="s">
        <v>754</v>
      </c>
      <c r="J7" s="785">
        <v>46142</v>
      </c>
      <c r="K7" s="786" t="s">
        <v>399</v>
      </c>
      <c r="L7" s="786" t="s">
        <v>395</v>
      </c>
      <c r="M7" s="787" t="s">
        <v>755</v>
      </c>
      <c r="N7" s="788" t="s">
        <v>400</v>
      </c>
      <c r="O7" s="789"/>
    </row>
    <row r="8" spans="1:15" ht="14.25" customHeight="1">
      <c r="A8" s="778"/>
      <c r="B8" s="790"/>
      <c r="C8" s="791"/>
      <c r="D8" s="791"/>
      <c r="E8" s="791"/>
      <c r="F8" s="791"/>
      <c r="G8" s="791"/>
      <c r="H8" s="791"/>
      <c r="I8" s="791"/>
      <c r="J8" s="791"/>
      <c r="K8" s="791"/>
      <c r="L8" s="791"/>
      <c r="M8" s="792"/>
      <c r="N8" s="793"/>
      <c r="O8" s="789"/>
    </row>
    <row r="9" spans="1:15" ht="14.25" customHeight="1">
      <c r="A9" s="778"/>
      <c r="B9" s="790"/>
      <c r="C9" s="791"/>
      <c r="D9" s="791"/>
      <c r="E9" s="791"/>
      <c r="F9" s="791"/>
      <c r="G9" s="791"/>
      <c r="H9" s="791"/>
      <c r="I9" s="791"/>
      <c r="J9" s="791"/>
      <c r="K9" s="791"/>
      <c r="L9" s="791"/>
      <c r="M9" s="792"/>
      <c r="N9" s="793"/>
      <c r="O9" s="789"/>
    </row>
    <row r="10" spans="1:15" ht="14.25" customHeight="1">
      <c r="A10" s="778"/>
      <c r="B10" s="790"/>
      <c r="C10" s="791"/>
      <c r="D10" s="791"/>
      <c r="E10" s="791"/>
      <c r="F10" s="791"/>
      <c r="G10" s="791"/>
      <c r="H10" s="791"/>
      <c r="I10" s="791"/>
      <c r="J10" s="791"/>
      <c r="K10" s="791"/>
      <c r="L10" s="791"/>
      <c r="M10" s="792"/>
      <c r="N10" s="793"/>
      <c r="O10" s="789"/>
    </row>
    <row r="11" spans="1:15" ht="14.25" customHeight="1">
      <c r="A11" s="778"/>
      <c r="B11" s="790"/>
      <c r="C11" s="791"/>
      <c r="D11" s="791"/>
      <c r="E11" s="791"/>
      <c r="F11" s="791"/>
      <c r="G11" s="791"/>
      <c r="H11" s="791"/>
      <c r="I11" s="791"/>
      <c r="J11" s="791"/>
      <c r="K11" s="791"/>
      <c r="L11" s="791"/>
      <c r="M11" s="792"/>
      <c r="N11" s="793"/>
      <c r="O11" s="789"/>
    </row>
    <row r="12" spans="1:15" ht="14.25" customHeight="1">
      <c r="A12" s="762"/>
      <c r="B12" s="779" t="s">
        <v>401</v>
      </c>
      <c r="C12" s="780" t="s">
        <v>26</v>
      </c>
      <c r="D12" s="780" t="s">
        <v>333</v>
      </c>
      <c r="E12" s="782" t="s">
        <v>750</v>
      </c>
      <c r="F12" s="783">
        <v>0.1</v>
      </c>
      <c r="G12" s="780">
        <v>1</v>
      </c>
      <c r="H12" s="780" t="s">
        <v>398</v>
      </c>
      <c r="I12" s="784" t="s">
        <v>756</v>
      </c>
      <c r="J12" s="785">
        <v>46142</v>
      </c>
      <c r="K12" s="794" t="s">
        <v>402</v>
      </c>
      <c r="L12" s="794" t="s">
        <v>402</v>
      </c>
      <c r="M12" s="787" t="s">
        <v>403</v>
      </c>
      <c r="N12" s="762"/>
    </row>
    <row r="13" spans="1:15" ht="14.25" customHeight="1">
      <c r="A13" s="762"/>
      <c r="B13" s="790"/>
      <c r="C13" s="791"/>
      <c r="D13" s="791"/>
      <c r="E13" s="791"/>
      <c r="F13" s="791"/>
      <c r="G13" s="791"/>
      <c r="H13" s="791"/>
      <c r="I13" s="791"/>
      <c r="J13" s="791"/>
      <c r="K13" s="791"/>
      <c r="L13" s="791"/>
      <c r="M13" s="792"/>
      <c r="N13" s="762"/>
    </row>
    <row r="14" spans="1:15" ht="14.25" customHeight="1">
      <c r="A14" s="795"/>
      <c r="B14" s="796"/>
      <c r="C14" s="797"/>
      <c r="D14" s="797"/>
      <c r="E14" s="797"/>
      <c r="F14" s="797"/>
      <c r="G14" s="797"/>
      <c r="H14" s="797"/>
      <c r="I14" s="797"/>
      <c r="J14" s="797"/>
      <c r="K14" s="797"/>
      <c r="L14" s="797"/>
      <c r="M14" s="798"/>
      <c r="N14" s="761"/>
    </row>
    <row r="15" spans="1:15" ht="14.25" customHeight="1">
      <c r="A15" s="795"/>
      <c r="B15" s="799" t="s">
        <v>404</v>
      </c>
      <c r="C15" s="800" t="s">
        <v>26</v>
      </c>
      <c r="D15" s="800" t="s">
        <v>333</v>
      </c>
      <c r="E15" s="774" t="s">
        <v>750</v>
      </c>
      <c r="F15" s="801">
        <v>0.1</v>
      </c>
      <c r="G15" s="800">
        <v>1</v>
      </c>
      <c r="H15" s="800" t="s">
        <v>398</v>
      </c>
      <c r="I15" s="802" t="s">
        <v>756</v>
      </c>
      <c r="J15" s="776">
        <v>46142</v>
      </c>
      <c r="K15" s="803" t="s">
        <v>402</v>
      </c>
      <c r="L15" s="803" t="s">
        <v>405</v>
      </c>
      <c r="M15" s="804" t="s">
        <v>406</v>
      </c>
      <c r="N15" s="761"/>
    </row>
    <row r="16" spans="1:15" ht="14.25" customHeight="1">
      <c r="A16" s="795"/>
      <c r="B16" s="779" t="s">
        <v>407</v>
      </c>
      <c r="C16" s="780" t="s">
        <v>26</v>
      </c>
      <c r="D16" s="780" t="s">
        <v>333</v>
      </c>
      <c r="E16" s="782" t="s">
        <v>750</v>
      </c>
      <c r="F16" s="783">
        <v>0.1</v>
      </c>
      <c r="G16" s="780">
        <v>1</v>
      </c>
      <c r="H16" s="780" t="s">
        <v>398</v>
      </c>
      <c r="I16" s="784" t="s">
        <v>756</v>
      </c>
      <c r="J16" s="785">
        <v>46142</v>
      </c>
      <c r="K16" s="794" t="s">
        <v>751</v>
      </c>
      <c r="L16" s="794" t="s">
        <v>757</v>
      </c>
      <c r="M16" s="787">
        <v>0.1</v>
      </c>
      <c r="N16" s="761"/>
    </row>
    <row r="17" spans="1:15" ht="14.25" customHeight="1">
      <c r="A17" s="795"/>
      <c r="B17" s="790"/>
      <c r="C17" s="791"/>
      <c r="D17" s="791"/>
      <c r="E17" s="791"/>
      <c r="F17" s="791"/>
      <c r="G17" s="791"/>
      <c r="H17" s="791"/>
      <c r="I17" s="791"/>
      <c r="J17" s="791"/>
      <c r="K17" s="791"/>
      <c r="L17" s="791"/>
      <c r="M17" s="792"/>
      <c r="N17" s="761"/>
    </row>
    <row r="18" spans="1:15" ht="14.25" customHeight="1">
      <c r="A18" s="795"/>
      <c r="B18" s="790"/>
      <c r="C18" s="791"/>
      <c r="D18" s="791"/>
      <c r="E18" s="791"/>
      <c r="F18" s="791"/>
      <c r="G18" s="791"/>
      <c r="H18" s="791"/>
      <c r="I18" s="791"/>
      <c r="J18" s="791"/>
      <c r="K18" s="791"/>
      <c r="L18" s="791"/>
      <c r="M18" s="792"/>
      <c r="N18" s="761"/>
    </row>
    <row r="19" spans="1:15" ht="21.75" customHeight="1">
      <c r="A19" s="795"/>
      <c r="B19" s="796"/>
      <c r="C19" s="797"/>
      <c r="D19" s="797"/>
      <c r="E19" s="797"/>
      <c r="F19" s="797"/>
      <c r="G19" s="797"/>
      <c r="H19" s="797"/>
      <c r="I19" s="797"/>
      <c r="J19" s="797"/>
      <c r="K19" s="797"/>
      <c r="L19" s="797"/>
      <c r="M19" s="798"/>
      <c r="N19" s="761"/>
    </row>
    <row r="20" spans="1:15" ht="27" customHeight="1">
      <c r="A20" s="795"/>
      <c r="B20" s="779" t="s">
        <v>408</v>
      </c>
      <c r="C20" s="780" t="s">
        <v>26</v>
      </c>
      <c r="D20" s="780" t="s">
        <v>333</v>
      </c>
      <c r="E20" s="782" t="s">
        <v>750</v>
      </c>
      <c r="F20" s="783">
        <v>0.15</v>
      </c>
      <c r="G20" s="784">
        <v>1</v>
      </c>
      <c r="H20" s="780" t="s">
        <v>398</v>
      </c>
      <c r="I20" s="784" t="s">
        <v>752</v>
      </c>
      <c r="J20" s="785">
        <v>46142</v>
      </c>
      <c r="K20" s="794" t="s">
        <v>758</v>
      </c>
      <c r="L20" s="794" t="s">
        <v>402</v>
      </c>
      <c r="M20" s="787">
        <v>0.1</v>
      </c>
      <c r="N20" s="761"/>
    </row>
    <row r="21" spans="1:15" ht="27" customHeight="1">
      <c r="A21" s="795"/>
      <c r="B21" s="790"/>
      <c r="C21" s="791"/>
      <c r="D21" s="791"/>
      <c r="E21" s="791"/>
      <c r="F21" s="791"/>
      <c r="G21" s="791"/>
      <c r="H21" s="791"/>
      <c r="I21" s="791"/>
      <c r="J21" s="791"/>
      <c r="K21" s="791"/>
      <c r="L21" s="791"/>
      <c r="M21" s="792"/>
      <c r="N21" s="761"/>
    </row>
    <row r="22" spans="1:15" ht="18.75" customHeight="1">
      <c r="A22" s="795"/>
      <c r="B22" s="790"/>
      <c r="C22" s="791"/>
      <c r="D22" s="791"/>
      <c r="E22" s="791"/>
      <c r="F22" s="791"/>
      <c r="G22" s="791"/>
      <c r="H22" s="791"/>
      <c r="I22" s="791"/>
      <c r="J22" s="791"/>
      <c r="K22" s="791"/>
      <c r="L22" s="791"/>
      <c r="M22" s="792"/>
      <c r="N22" s="761"/>
    </row>
    <row r="23" spans="1:15" ht="17.25" customHeight="1">
      <c r="A23" s="795"/>
      <c r="B23" s="796"/>
      <c r="C23" s="797"/>
      <c r="D23" s="797"/>
      <c r="E23" s="797"/>
      <c r="F23" s="797"/>
      <c r="G23" s="797"/>
      <c r="H23" s="797"/>
      <c r="I23" s="797"/>
      <c r="J23" s="797"/>
      <c r="K23" s="797"/>
      <c r="L23" s="797"/>
      <c r="M23" s="798"/>
      <c r="N23" s="761"/>
    </row>
    <row r="24" spans="1:15" ht="20.25" customHeight="1">
      <c r="A24" s="795"/>
      <c r="B24" s="779" t="s">
        <v>412</v>
      </c>
      <c r="C24" s="780" t="s">
        <v>409</v>
      </c>
      <c r="D24" s="780" t="s">
        <v>410</v>
      </c>
      <c r="E24" s="782" t="s">
        <v>750</v>
      </c>
      <c r="F24" s="783">
        <v>0.15</v>
      </c>
      <c r="G24" s="784">
        <v>8</v>
      </c>
      <c r="H24" s="780" t="s">
        <v>411</v>
      </c>
      <c r="I24" s="784" t="s">
        <v>752</v>
      </c>
      <c r="J24" s="785">
        <v>46387</v>
      </c>
      <c r="K24" s="794" t="s">
        <v>402</v>
      </c>
      <c r="L24" s="794" t="s">
        <v>402</v>
      </c>
      <c r="M24" s="787">
        <v>0.05</v>
      </c>
      <c r="N24" s="805" t="s">
        <v>413</v>
      </c>
      <c r="O24" s="789"/>
    </row>
    <row r="25" spans="1:15" ht="30" customHeight="1" thickBot="1">
      <c r="A25" s="795"/>
      <c r="B25" s="806"/>
      <c r="C25" s="807"/>
      <c r="D25" s="807"/>
      <c r="E25" s="807"/>
      <c r="F25" s="807"/>
      <c r="G25" s="807"/>
      <c r="H25" s="807"/>
      <c r="I25" s="807"/>
      <c r="J25" s="807"/>
      <c r="K25" s="807"/>
      <c r="L25" s="807"/>
      <c r="M25" s="808"/>
      <c r="N25" s="789"/>
      <c r="O25" s="789"/>
    </row>
    <row r="26" spans="1:15" ht="51" customHeight="1">
      <c r="A26" s="761"/>
      <c r="B26" s="809" t="s">
        <v>759</v>
      </c>
      <c r="C26" s="766"/>
      <c r="D26" s="766"/>
      <c r="E26" s="766"/>
      <c r="F26" s="766"/>
      <c r="G26" s="766"/>
      <c r="H26" s="766"/>
      <c r="I26" s="766"/>
      <c r="J26" s="766"/>
      <c r="K26" s="766"/>
      <c r="L26" s="766"/>
      <c r="M26" s="766"/>
      <c r="N26" s="810"/>
    </row>
    <row r="27" spans="1:15" ht="14.25" customHeight="1"/>
    <row r="28" spans="1:15" ht="14.25" customHeight="1"/>
    <row r="29" spans="1:15" ht="14.25" customHeight="1"/>
    <row r="30" spans="1:15" ht="14.25" customHeight="1"/>
    <row r="31" spans="1:15" ht="14.25" customHeight="1"/>
    <row r="32" spans="1:15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customFormat="1" ht="14.25" customHeight="1"/>
    <row r="242" customFormat="1" ht="14.25" customHeight="1"/>
    <row r="243" customFormat="1" ht="14.25" customHeight="1"/>
    <row r="244" customFormat="1" ht="14.25" customHeight="1"/>
    <row r="245" customFormat="1" ht="14.25" customHeight="1"/>
    <row r="246" customFormat="1" ht="14.25" customHeight="1"/>
    <row r="247" customFormat="1" ht="14.25" customHeight="1"/>
    <row r="248" customFormat="1" ht="14.25" customHeight="1"/>
    <row r="249" customFormat="1" ht="14.25" customHeight="1"/>
    <row r="250" customFormat="1" ht="14.25" customHeight="1"/>
    <row r="251" customFormat="1" ht="14.25" customHeight="1"/>
    <row r="252" customFormat="1" ht="14.25" customHeight="1"/>
    <row r="253" customFormat="1" ht="14.25" customHeight="1"/>
    <row r="254" customFormat="1" ht="14.25" customHeight="1"/>
    <row r="255" customFormat="1" ht="14.25" customHeight="1"/>
    <row r="256" customFormat="1" ht="14.25" customHeight="1"/>
    <row r="257" customFormat="1" ht="14.25" customHeight="1"/>
    <row r="258" customFormat="1" ht="14.25" customHeight="1"/>
    <row r="259" customFormat="1" ht="14.25" customHeight="1"/>
    <row r="260" customFormat="1" ht="14.25" customHeight="1"/>
    <row r="261" customFormat="1" ht="14.25" customHeight="1"/>
    <row r="262" customFormat="1" ht="14.25" customHeight="1"/>
    <row r="263" customFormat="1" ht="14.25" customHeight="1"/>
    <row r="264" customFormat="1" ht="14.25" customHeight="1"/>
    <row r="265" customFormat="1" ht="14.25" customHeight="1"/>
    <row r="266" customFormat="1" ht="14.25" customHeight="1"/>
    <row r="267" customFormat="1" ht="14.25" customHeight="1"/>
    <row r="268" customFormat="1" ht="14.25" customHeight="1"/>
    <row r="269" customFormat="1" ht="14.25" customHeight="1"/>
    <row r="270" customFormat="1" ht="14.25" customHeight="1"/>
    <row r="271" customFormat="1" ht="14.25" customHeight="1"/>
    <row r="272" customFormat="1" ht="14.25" customHeight="1"/>
    <row r="273" customFormat="1" ht="14.25" customHeight="1"/>
    <row r="274" customFormat="1" ht="14.25" customHeight="1"/>
    <row r="275" customFormat="1" ht="14.25" customHeight="1"/>
    <row r="276" customFormat="1" ht="14.25" customHeight="1"/>
    <row r="277" customFormat="1" ht="14.25" customHeight="1"/>
    <row r="278" customFormat="1" ht="14.25" customHeight="1"/>
    <row r="279" customFormat="1" ht="14.25" customHeight="1"/>
    <row r="280" customFormat="1" ht="14.25" customHeight="1"/>
    <row r="281" customFormat="1" ht="14.25" customHeight="1"/>
    <row r="282" customFormat="1" ht="14.25" customHeight="1"/>
    <row r="283" customFormat="1" ht="14.25" customHeight="1"/>
    <row r="284" customFormat="1" ht="14.25" customHeight="1"/>
    <row r="285" customFormat="1" ht="14.25" customHeight="1"/>
    <row r="286" customFormat="1" ht="14.25" customHeight="1"/>
    <row r="287" customFormat="1" ht="14.25" customHeight="1"/>
    <row r="288" customFormat="1" ht="14.25" customHeight="1"/>
    <row r="289" customFormat="1" ht="14.25" customHeight="1"/>
    <row r="290" customFormat="1" ht="14.25" customHeight="1"/>
    <row r="291" customFormat="1" ht="14.25" customHeight="1"/>
    <row r="292" customFormat="1" ht="14.25" customHeight="1"/>
    <row r="293" customFormat="1" ht="14.25" customHeight="1"/>
    <row r="294" customFormat="1" ht="14.25" customHeight="1"/>
    <row r="295" customFormat="1" ht="14.25" customHeight="1"/>
    <row r="296" customFormat="1" ht="14.25" customHeight="1"/>
    <row r="297" customFormat="1" ht="14.25" customHeight="1"/>
    <row r="298" customFormat="1" ht="14.25" customHeight="1"/>
    <row r="299" customFormat="1" ht="14.25" customHeight="1"/>
    <row r="300" customFormat="1" ht="14.25" customHeight="1"/>
    <row r="301" customFormat="1" ht="14.25" customHeight="1"/>
    <row r="302" customFormat="1" ht="14.25" customHeight="1"/>
    <row r="303" customFormat="1" ht="14.25" customHeight="1"/>
    <row r="304" customFormat="1" ht="14.25" customHeight="1"/>
    <row r="305" customFormat="1" ht="14.25" customHeight="1"/>
    <row r="306" customFormat="1" ht="14.25" customHeight="1"/>
    <row r="307" customFormat="1" ht="14.25" customHeight="1"/>
    <row r="308" customFormat="1" ht="14.25" customHeight="1"/>
    <row r="309" customFormat="1" ht="14.25" customHeight="1"/>
    <row r="310" customFormat="1" ht="14.25" customHeight="1"/>
    <row r="311" customFormat="1" ht="14.25" customHeight="1"/>
    <row r="312" customFormat="1" ht="14.25" customHeight="1"/>
    <row r="313" customFormat="1" ht="14.25" customHeight="1"/>
    <row r="314" customFormat="1" ht="14.25" customHeight="1"/>
    <row r="315" customFormat="1" ht="14.25" customHeight="1"/>
    <row r="316" customFormat="1" ht="14.25" customHeight="1"/>
    <row r="317" customFormat="1" ht="14.25" customHeight="1"/>
    <row r="318" customFormat="1" ht="14.25" customHeight="1"/>
    <row r="319" customFormat="1" ht="14.25" customHeight="1"/>
    <row r="320" customFormat="1" ht="14.25" customHeight="1"/>
    <row r="321" customFormat="1" ht="14.25" customHeight="1"/>
    <row r="322" customFormat="1" ht="14.25" customHeight="1"/>
    <row r="323" customFormat="1" ht="14.25" customHeight="1"/>
    <row r="324" customFormat="1" ht="14.25" customHeight="1"/>
    <row r="325" customFormat="1" ht="14.25" customHeight="1"/>
    <row r="326" customFormat="1" ht="14.25" customHeight="1"/>
    <row r="327" customFormat="1" ht="14.25" customHeight="1"/>
    <row r="328" customFormat="1" ht="14.25" customHeight="1"/>
    <row r="329" customFormat="1" ht="14.25" customHeight="1"/>
    <row r="330" customFormat="1" ht="14.25" customHeight="1"/>
    <row r="331" customFormat="1" ht="14.25" customHeight="1"/>
    <row r="332" customFormat="1" ht="14.25" customHeight="1"/>
    <row r="333" customFormat="1" ht="14.25" customHeight="1"/>
    <row r="334" customFormat="1" ht="14.25" customHeight="1"/>
    <row r="335" customFormat="1" ht="14.25" customHeight="1"/>
    <row r="336" customFormat="1" ht="14.25" customHeight="1"/>
    <row r="337" customFormat="1" ht="14.25" customHeight="1"/>
    <row r="338" customFormat="1" ht="14.25" customHeight="1"/>
    <row r="339" customFormat="1" ht="14.25" customHeight="1"/>
    <row r="340" customFormat="1" ht="14.25" customHeight="1"/>
    <row r="341" customFormat="1" ht="14.25" customHeight="1"/>
    <row r="342" customFormat="1" ht="14.25" customHeight="1"/>
    <row r="343" customFormat="1" ht="14.25" customHeight="1"/>
    <row r="344" customFormat="1" ht="14.25" customHeight="1"/>
    <row r="345" customFormat="1" ht="14.25" customHeight="1"/>
    <row r="346" customFormat="1" ht="14.25" customHeight="1"/>
    <row r="347" customFormat="1" ht="14.25" customHeight="1"/>
    <row r="348" customFormat="1" ht="14.25" customHeight="1"/>
    <row r="349" customFormat="1" ht="14.25" customHeight="1"/>
    <row r="350" customFormat="1" ht="14.25" customHeight="1"/>
    <row r="351" customFormat="1" ht="14.25" customHeight="1"/>
    <row r="352" customFormat="1" ht="14.25" customHeight="1"/>
    <row r="353" customFormat="1" ht="14.25" customHeight="1"/>
    <row r="354" customFormat="1" ht="14.25" customHeight="1"/>
    <row r="355" customFormat="1" ht="14.25" customHeight="1"/>
    <row r="356" customFormat="1" ht="14.25" customHeight="1"/>
    <row r="357" customFormat="1" ht="14.25" customHeight="1"/>
    <row r="358" customFormat="1" ht="14.25" customHeight="1"/>
    <row r="359" customFormat="1" ht="14.25" customHeight="1"/>
    <row r="360" customFormat="1" ht="14.25" customHeight="1"/>
    <row r="361" customFormat="1" ht="14.25" customHeight="1"/>
    <row r="362" customFormat="1" ht="14.25" customHeight="1"/>
    <row r="363" customFormat="1" ht="14.25" customHeight="1"/>
    <row r="364" customFormat="1" ht="14.25" customHeight="1"/>
    <row r="365" customFormat="1" ht="14.25" customHeight="1"/>
    <row r="366" customFormat="1" ht="14.25" customHeight="1"/>
    <row r="367" customFormat="1" ht="14.25" customHeight="1"/>
    <row r="368" customFormat="1" ht="14.25" customHeight="1"/>
    <row r="369" customFormat="1" ht="14.25" customHeight="1"/>
    <row r="370" customFormat="1" ht="14.25" customHeight="1"/>
    <row r="371" customFormat="1" ht="14.25" customHeight="1"/>
    <row r="372" customFormat="1" ht="14.25" customHeight="1"/>
    <row r="373" customFormat="1" ht="14.25" customHeight="1"/>
    <row r="374" customFormat="1" ht="14.25" customHeight="1"/>
    <row r="375" customFormat="1" ht="14.25" customHeight="1"/>
    <row r="376" customFormat="1" ht="14.25" customHeight="1"/>
    <row r="377" customFormat="1" ht="14.25" customHeight="1"/>
    <row r="378" customFormat="1" ht="14.25" customHeight="1"/>
    <row r="379" customFormat="1" ht="14.25" customHeight="1"/>
    <row r="380" customFormat="1" ht="14.25" customHeight="1"/>
    <row r="381" customFormat="1" ht="14.25" customHeight="1"/>
    <row r="382" customFormat="1" ht="14.25" customHeight="1"/>
    <row r="383" customFormat="1" ht="14.25" customHeight="1"/>
    <row r="384" customFormat="1" ht="14.25" customHeight="1"/>
    <row r="385" customFormat="1" ht="14.25" customHeight="1"/>
    <row r="386" customFormat="1" ht="14.25" customHeight="1"/>
    <row r="387" customFormat="1" ht="14.25" customHeight="1"/>
    <row r="388" customFormat="1" ht="14.25" customHeight="1"/>
    <row r="389" customFormat="1" ht="14.25" customHeight="1"/>
    <row r="390" customFormat="1" ht="14.25" customHeight="1"/>
    <row r="391" customFormat="1" ht="14.25" customHeight="1"/>
    <row r="392" customFormat="1" ht="14.25" customHeight="1"/>
    <row r="393" customFormat="1" ht="14.25" customHeight="1"/>
    <row r="394" customFormat="1" ht="14.25" customHeight="1"/>
    <row r="395" customFormat="1" ht="14.25" customHeight="1"/>
    <row r="396" customFormat="1" ht="14.25" customHeight="1"/>
    <row r="397" customFormat="1" ht="14.25" customHeight="1"/>
    <row r="398" customFormat="1" ht="14.25" customHeight="1"/>
    <row r="399" customFormat="1" ht="14.25" customHeight="1"/>
    <row r="400" customFormat="1" ht="14.25" customHeight="1"/>
    <row r="401" customFormat="1" ht="14.25" customHeight="1"/>
    <row r="402" customFormat="1" ht="14.25" customHeight="1"/>
    <row r="403" customFormat="1" ht="14.25" customHeight="1"/>
    <row r="404" customFormat="1" ht="14.25" customHeight="1"/>
    <row r="405" customFormat="1" ht="14.25" customHeight="1"/>
    <row r="406" customFormat="1" ht="14.25" customHeight="1"/>
    <row r="407" customFormat="1" ht="14.25" customHeight="1"/>
    <row r="408" customFormat="1" ht="14.25" customHeight="1"/>
    <row r="409" customFormat="1" ht="14.25" customHeight="1"/>
    <row r="410" customFormat="1" ht="14.25" customHeight="1"/>
    <row r="411" customFormat="1" ht="14.25" customHeight="1"/>
    <row r="412" customFormat="1" ht="14.25" customHeight="1"/>
    <row r="413" customFormat="1" ht="14.25" customHeight="1"/>
    <row r="414" customFormat="1" ht="14.25" customHeight="1"/>
    <row r="415" customFormat="1" ht="14.25" customHeight="1"/>
    <row r="416" customFormat="1" ht="14.25" customHeight="1"/>
    <row r="417" customFormat="1" ht="14.25" customHeight="1"/>
    <row r="418" customFormat="1" ht="14.25" customHeight="1"/>
    <row r="419" customFormat="1" ht="14.25" customHeight="1"/>
    <row r="420" customFormat="1" ht="14.25" customHeight="1"/>
    <row r="421" customFormat="1" ht="14.25" customHeight="1"/>
    <row r="422" customFormat="1" ht="14.25" customHeight="1"/>
    <row r="423" customFormat="1" ht="14.25" customHeight="1"/>
    <row r="424" customFormat="1" ht="14.25" customHeight="1"/>
    <row r="425" customFormat="1" ht="14.25" customHeight="1"/>
    <row r="426" customFormat="1" ht="14.25" customHeight="1"/>
    <row r="427" customFormat="1" ht="14.25" customHeight="1"/>
    <row r="428" customFormat="1" ht="14.25" customHeight="1"/>
    <row r="429" customFormat="1" ht="14.25" customHeight="1"/>
    <row r="430" customFormat="1" ht="14.25" customHeight="1"/>
    <row r="431" customFormat="1" ht="14.25" customHeight="1"/>
    <row r="432" customFormat="1" ht="14.25" customHeight="1"/>
    <row r="433" customFormat="1" ht="14.25" customHeight="1"/>
    <row r="434" customFormat="1" ht="14.25" customHeight="1"/>
    <row r="435" customFormat="1" ht="14.25" customHeight="1"/>
    <row r="436" customFormat="1" ht="14.25" customHeight="1"/>
    <row r="437" customFormat="1" ht="14.25" customHeight="1"/>
    <row r="438" customFormat="1" ht="14.25" customHeight="1"/>
    <row r="439" customFormat="1" ht="14.25" customHeight="1"/>
    <row r="440" customFormat="1" ht="14.25" customHeight="1"/>
    <row r="441" customFormat="1" ht="14.25" customHeight="1"/>
    <row r="442" customFormat="1" ht="14.25" customHeight="1"/>
    <row r="443" customFormat="1" ht="14.25" customHeight="1"/>
    <row r="444" customFormat="1" ht="14.25" customHeight="1"/>
    <row r="445" customFormat="1" ht="14.25" customHeight="1"/>
    <row r="446" customFormat="1" ht="14.25" customHeight="1"/>
    <row r="447" customFormat="1" ht="14.25" customHeight="1"/>
    <row r="448" customFormat="1" ht="14.25" customHeight="1"/>
    <row r="449" customFormat="1" ht="14.25" customHeight="1"/>
    <row r="450" customFormat="1" ht="14.25" customHeight="1"/>
    <row r="451" customFormat="1" ht="14.25" customHeight="1"/>
    <row r="452" customFormat="1" ht="14.25" customHeight="1"/>
    <row r="453" customFormat="1" ht="14.25" customHeight="1"/>
    <row r="454" customFormat="1" ht="14.25" customHeight="1"/>
    <row r="455" customFormat="1" ht="14.25" customHeight="1"/>
    <row r="456" customFormat="1" ht="14.25" customHeight="1"/>
    <row r="457" customFormat="1" ht="14.25" customHeight="1"/>
    <row r="458" customFormat="1" ht="14.25" customHeight="1"/>
    <row r="459" customFormat="1" ht="14.25" customHeight="1"/>
    <row r="460" customFormat="1" ht="14.25" customHeight="1"/>
    <row r="461" customFormat="1" ht="14.25" customHeight="1"/>
    <row r="462" customFormat="1" ht="14.25" customHeight="1"/>
    <row r="463" customFormat="1" ht="14.25" customHeight="1"/>
    <row r="464" customFormat="1" ht="14.25" customHeight="1"/>
    <row r="465" customFormat="1" ht="14.25" customHeight="1"/>
    <row r="466" customFormat="1" ht="14.25" customHeight="1"/>
    <row r="467" customFormat="1" ht="14.25" customHeight="1"/>
    <row r="468" customFormat="1" ht="14.25" customHeight="1"/>
    <row r="469" customFormat="1" ht="14.25" customHeight="1"/>
    <row r="470" customFormat="1" ht="14.25" customHeight="1"/>
    <row r="471" customFormat="1" ht="14.25" customHeight="1"/>
    <row r="472" customFormat="1" ht="14.25" customHeight="1"/>
    <row r="473" customFormat="1" ht="14.25" customHeight="1"/>
    <row r="474" customFormat="1" ht="14.25" customHeight="1"/>
    <row r="475" customFormat="1" ht="14.25" customHeight="1"/>
    <row r="476" customFormat="1" ht="14.25" customHeight="1"/>
    <row r="477" customFormat="1" ht="14.25" customHeight="1"/>
    <row r="478" customFormat="1" ht="14.25" customHeight="1"/>
    <row r="479" customFormat="1" ht="14.25" customHeight="1"/>
    <row r="480" customFormat="1" ht="14.25" customHeight="1"/>
    <row r="481" customFormat="1" ht="14.25" customHeight="1"/>
    <row r="482" customFormat="1" ht="14.25" customHeight="1"/>
    <row r="483" customFormat="1" ht="14.25" customHeight="1"/>
    <row r="484" customFormat="1" ht="14.25" customHeight="1"/>
    <row r="485" customFormat="1" ht="14.25" customHeight="1"/>
    <row r="486" customFormat="1" ht="14.25" customHeight="1"/>
    <row r="487" customFormat="1" ht="14.25" customHeight="1"/>
    <row r="488" customFormat="1" ht="14.25" customHeight="1"/>
    <row r="489" customFormat="1" ht="14.25" customHeight="1"/>
    <row r="490" customFormat="1" ht="14.25" customHeight="1"/>
    <row r="491" customFormat="1" ht="14.25" customHeight="1"/>
    <row r="492" customFormat="1" ht="14.25" customHeight="1"/>
    <row r="493" customFormat="1" ht="14.25" customHeight="1"/>
    <row r="494" customFormat="1" ht="14.25" customHeight="1"/>
    <row r="495" customFormat="1" ht="14.25" customHeight="1"/>
    <row r="496" customFormat="1" ht="14.25" customHeight="1"/>
    <row r="497" customFormat="1" ht="14.25" customHeight="1"/>
    <row r="498" customFormat="1" ht="14.25" customHeight="1"/>
    <row r="499" customFormat="1" ht="14.25" customHeight="1"/>
    <row r="500" customFormat="1" ht="14.25" customHeight="1"/>
    <row r="501" customFormat="1" ht="14.25" customHeight="1"/>
    <row r="502" customFormat="1" ht="14.25" customHeight="1"/>
    <row r="503" customFormat="1" ht="14.25" customHeight="1"/>
    <row r="504" customFormat="1" ht="14.25" customHeight="1"/>
    <row r="505" customFormat="1" ht="14.25" customHeight="1"/>
    <row r="506" customFormat="1" ht="14.25" customHeight="1"/>
    <row r="507" customFormat="1" ht="14.25" customHeight="1"/>
    <row r="508" customFormat="1" ht="14.25" customHeight="1"/>
    <row r="509" customFormat="1" ht="14.25" customHeight="1"/>
    <row r="510" customFormat="1" ht="14.25" customHeight="1"/>
    <row r="511" customFormat="1" ht="14.25" customHeight="1"/>
    <row r="512" customFormat="1" ht="14.25" customHeight="1"/>
    <row r="513" customFormat="1" ht="14.25" customHeight="1"/>
    <row r="514" customFormat="1" ht="14.25" customHeight="1"/>
    <row r="515" customFormat="1" ht="14.25" customHeight="1"/>
    <row r="516" customFormat="1" ht="14.25" customHeight="1"/>
    <row r="517" customFormat="1" ht="14.25" customHeight="1"/>
    <row r="518" customFormat="1" ht="14.25" customHeight="1"/>
    <row r="519" customFormat="1" ht="14.25" customHeight="1"/>
    <row r="520" customFormat="1" ht="14.25" customHeight="1"/>
    <row r="521" customFormat="1" ht="14.25" customHeight="1"/>
    <row r="522" customFormat="1" ht="14.25" customHeight="1"/>
    <row r="523" customFormat="1" ht="14.25" customHeight="1"/>
    <row r="524" customFormat="1" ht="14.25" customHeight="1"/>
    <row r="525" customFormat="1" ht="14.25" customHeight="1"/>
    <row r="526" customFormat="1" ht="14.25" customHeight="1"/>
    <row r="527" customFormat="1" ht="14.25" customHeight="1"/>
    <row r="528" customFormat="1" ht="14.25" customHeight="1"/>
    <row r="529" customFormat="1" ht="14.25" customHeight="1"/>
    <row r="530" customFormat="1" ht="14.25" customHeight="1"/>
    <row r="531" customFormat="1" ht="14.25" customHeight="1"/>
    <row r="532" customFormat="1" ht="14.25" customHeight="1"/>
    <row r="533" customFormat="1" ht="14.25" customHeight="1"/>
    <row r="534" customFormat="1" ht="14.25" customHeight="1"/>
    <row r="535" customFormat="1" ht="14.25" customHeight="1"/>
    <row r="536" customFormat="1" ht="14.25" customHeight="1"/>
    <row r="537" customFormat="1" ht="14.25" customHeight="1"/>
    <row r="538" customFormat="1" ht="14.25" customHeight="1"/>
    <row r="539" customFormat="1" ht="14.25" customHeight="1"/>
    <row r="540" customFormat="1" ht="14.25" customHeight="1"/>
    <row r="541" customFormat="1" ht="14.25" customHeight="1"/>
    <row r="542" customFormat="1" ht="14.25" customHeight="1"/>
    <row r="543" customFormat="1" ht="14.25" customHeight="1"/>
    <row r="544" customFormat="1" ht="14.25" customHeight="1"/>
    <row r="545" customFormat="1" ht="14.25" customHeight="1"/>
    <row r="546" customFormat="1" ht="14.25" customHeight="1"/>
    <row r="547" customFormat="1" ht="14.25" customHeight="1"/>
    <row r="548" customFormat="1" ht="14.25" customHeight="1"/>
    <row r="549" customFormat="1" ht="14.25" customHeight="1"/>
    <row r="550" customFormat="1" ht="14.25" customHeight="1"/>
    <row r="551" customFormat="1" ht="14.25" customHeight="1"/>
    <row r="552" customFormat="1" ht="14.25" customHeight="1"/>
    <row r="553" customFormat="1" ht="14.25" customHeight="1"/>
    <row r="554" customFormat="1" ht="14.25" customHeight="1"/>
    <row r="555" customFormat="1" ht="14.25" customHeight="1"/>
    <row r="556" customFormat="1" ht="14.25" customHeight="1"/>
    <row r="557" customFormat="1" ht="14.25" customHeight="1"/>
    <row r="558" customFormat="1" ht="14.25" customHeight="1"/>
    <row r="559" customFormat="1" ht="14.25" customHeight="1"/>
    <row r="560" customFormat="1" ht="14.25" customHeight="1"/>
    <row r="561" customFormat="1" ht="14.25" customHeight="1"/>
    <row r="562" customFormat="1" ht="14.25" customHeight="1"/>
    <row r="563" customFormat="1" ht="14.25" customHeight="1"/>
    <row r="564" customFormat="1" ht="14.25" customHeight="1"/>
    <row r="565" customFormat="1" ht="14.25" customHeight="1"/>
    <row r="566" customFormat="1" ht="14.25" customHeight="1"/>
    <row r="567" customFormat="1" ht="14.25" customHeight="1"/>
    <row r="568" customFormat="1" ht="14.25" customHeight="1"/>
    <row r="569" customFormat="1" ht="14.25" customHeight="1"/>
    <row r="570" customFormat="1" ht="14.25" customHeight="1"/>
    <row r="571" customFormat="1" ht="14.25" customHeight="1"/>
    <row r="572" customFormat="1" ht="14.25" customHeight="1"/>
    <row r="573" customFormat="1" ht="14.25" customHeight="1"/>
    <row r="574" customFormat="1" ht="14.25" customHeight="1"/>
    <row r="575" customFormat="1" ht="14.25" customHeight="1"/>
    <row r="576" customFormat="1" ht="14.25" customHeight="1"/>
    <row r="577" customFormat="1" ht="14.25" customHeight="1"/>
    <row r="578" customFormat="1" ht="14.25" customHeight="1"/>
    <row r="579" customFormat="1" ht="14.25" customHeight="1"/>
    <row r="580" customFormat="1" ht="14.25" customHeight="1"/>
    <row r="581" customFormat="1" ht="14.25" customHeight="1"/>
    <row r="582" customFormat="1" ht="14.25" customHeight="1"/>
    <row r="583" customFormat="1" ht="14.25" customHeight="1"/>
    <row r="584" customFormat="1" ht="14.25" customHeight="1"/>
    <row r="585" customFormat="1" ht="14.25" customHeight="1"/>
    <row r="586" customFormat="1" ht="14.25" customHeight="1"/>
    <row r="587" customFormat="1" ht="14.25" customHeight="1"/>
    <row r="588" customFormat="1" ht="14.25" customHeight="1"/>
    <row r="589" customFormat="1" ht="14.25" customHeight="1"/>
    <row r="590" customFormat="1" ht="14.25" customHeight="1"/>
    <row r="591" customFormat="1" ht="14.25" customHeight="1"/>
    <row r="592" customFormat="1" ht="14.25" customHeight="1"/>
    <row r="593" customFormat="1" ht="14.25" customHeight="1"/>
    <row r="594" customFormat="1" ht="14.25" customHeight="1"/>
    <row r="595" customFormat="1" ht="14.25" customHeight="1"/>
    <row r="596" customFormat="1" ht="14.25" customHeight="1"/>
    <row r="597" customFormat="1" ht="14.25" customHeight="1"/>
    <row r="598" customFormat="1" ht="14.25" customHeight="1"/>
    <row r="599" customFormat="1" ht="14.25" customHeight="1"/>
    <row r="600" customFormat="1" ht="14.25" customHeight="1"/>
    <row r="601" customFormat="1" ht="14.25" customHeight="1"/>
    <row r="602" customFormat="1" ht="14.25" customHeight="1"/>
    <row r="603" customFormat="1" ht="14.25" customHeight="1"/>
    <row r="604" customFormat="1" ht="14.25" customHeight="1"/>
    <row r="605" customFormat="1" ht="14.25" customHeight="1"/>
    <row r="606" customFormat="1" ht="14.25" customHeight="1"/>
    <row r="607" customFormat="1" ht="14.25" customHeight="1"/>
    <row r="608" customFormat="1" ht="14.25" customHeight="1"/>
    <row r="609" customFormat="1" ht="14.25" customHeight="1"/>
    <row r="610" customFormat="1" ht="14.25" customHeight="1"/>
    <row r="611" customFormat="1" ht="14.25" customHeight="1"/>
    <row r="612" customFormat="1" ht="14.25" customHeight="1"/>
    <row r="613" customFormat="1" ht="14.25" customHeight="1"/>
    <row r="614" customFormat="1" ht="14.25" customHeight="1"/>
    <row r="615" customFormat="1" ht="14.25" customHeight="1"/>
    <row r="616" customFormat="1" ht="14.25" customHeight="1"/>
    <row r="617" customFormat="1" ht="14.25" customHeight="1"/>
    <row r="618" customFormat="1" ht="14.25" customHeight="1"/>
    <row r="619" customFormat="1" ht="14.25" customHeight="1"/>
    <row r="620" customFormat="1" ht="14.25" customHeight="1"/>
    <row r="621" customFormat="1" ht="14.25" customHeight="1"/>
    <row r="622" customFormat="1" ht="14.25" customHeight="1"/>
    <row r="623" customFormat="1" ht="14.25" customHeight="1"/>
    <row r="624" customFormat="1" ht="14.25" customHeight="1"/>
    <row r="625" customFormat="1" ht="14.25" customHeight="1"/>
    <row r="626" customFormat="1" ht="14.25" customHeight="1"/>
    <row r="627" customFormat="1" ht="14.25" customHeight="1"/>
    <row r="628" customFormat="1" ht="14.25" customHeight="1"/>
    <row r="629" customFormat="1" ht="14.25" customHeight="1"/>
    <row r="630" customFormat="1" ht="14.25" customHeight="1"/>
    <row r="631" customFormat="1" ht="14.25" customHeight="1"/>
    <row r="632" customFormat="1" ht="14.25" customHeight="1"/>
    <row r="633" customFormat="1" ht="14.25" customHeight="1"/>
    <row r="634" customFormat="1" ht="14.25" customHeight="1"/>
    <row r="635" customFormat="1" ht="14.25" customHeight="1"/>
    <row r="636" customFormat="1" ht="14.25" customHeight="1"/>
    <row r="637" customFormat="1" ht="14.25" customHeight="1"/>
    <row r="638" customFormat="1" ht="14.25" customHeight="1"/>
    <row r="639" customFormat="1" ht="14.25" customHeight="1"/>
    <row r="640" customFormat="1" ht="14.25" customHeight="1"/>
    <row r="641" customFormat="1" ht="14.25" customHeight="1"/>
    <row r="642" customFormat="1" ht="14.25" customHeight="1"/>
    <row r="643" customFormat="1" ht="14.25" customHeight="1"/>
    <row r="644" customFormat="1" ht="14.25" customHeight="1"/>
    <row r="645" customFormat="1" ht="14.25" customHeight="1"/>
    <row r="646" customFormat="1" ht="14.25" customHeight="1"/>
    <row r="647" customFormat="1" ht="14.25" customHeight="1"/>
    <row r="648" customFormat="1" ht="14.25" customHeight="1"/>
    <row r="649" customFormat="1" ht="14.25" customHeight="1"/>
    <row r="650" customFormat="1" ht="14.25" customHeight="1"/>
    <row r="651" customFormat="1" ht="14.25" customHeight="1"/>
    <row r="652" customFormat="1" ht="14.25" customHeight="1"/>
    <row r="653" customFormat="1" ht="14.25" customHeight="1"/>
    <row r="654" customFormat="1" ht="14.25" customHeight="1"/>
    <row r="655" customFormat="1" ht="14.25" customHeight="1"/>
    <row r="656" customFormat="1" ht="14.25" customHeight="1"/>
    <row r="657" customFormat="1" ht="14.25" customHeight="1"/>
    <row r="658" customFormat="1" ht="14.25" customHeight="1"/>
    <row r="659" customFormat="1" ht="14.25" customHeight="1"/>
    <row r="660" customFormat="1" ht="14.25" customHeight="1"/>
    <row r="661" customFormat="1" ht="14.25" customHeight="1"/>
    <row r="662" customFormat="1" ht="14.25" customHeight="1"/>
    <row r="663" customFormat="1" ht="14.25" customHeight="1"/>
    <row r="664" customFormat="1" ht="14.25" customHeight="1"/>
    <row r="665" customFormat="1" ht="14.25" customHeight="1"/>
    <row r="666" customFormat="1" ht="14.25" customHeight="1"/>
    <row r="667" customFormat="1" ht="14.25" customHeight="1"/>
    <row r="668" customFormat="1" ht="14.25" customHeight="1"/>
    <row r="669" customFormat="1" ht="14.25" customHeight="1"/>
    <row r="670" customFormat="1" ht="14.25" customHeight="1"/>
    <row r="671" customFormat="1" ht="14.25" customHeight="1"/>
    <row r="672" customFormat="1" ht="14.25" customHeight="1"/>
    <row r="673" customFormat="1" ht="14.25" customHeight="1"/>
    <row r="674" customFormat="1" ht="14.25" customHeight="1"/>
    <row r="675" customFormat="1" ht="14.25" customHeight="1"/>
    <row r="676" customFormat="1" ht="14.25" customHeight="1"/>
    <row r="677" customFormat="1" ht="14.25" customHeight="1"/>
    <row r="678" customFormat="1" ht="14.25" customHeight="1"/>
    <row r="679" customFormat="1" ht="14.25" customHeight="1"/>
    <row r="680" customFormat="1" ht="14.25" customHeight="1"/>
    <row r="681" customFormat="1" ht="14.25" customHeight="1"/>
    <row r="682" customFormat="1" ht="14.25" customHeight="1"/>
    <row r="683" customFormat="1" ht="14.25" customHeight="1"/>
    <row r="684" customFormat="1" ht="14.25" customHeight="1"/>
    <row r="685" customFormat="1" ht="14.25" customHeight="1"/>
    <row r="686" customFormat="1" ht="14.25" customHeight="1"/>
    <row r="687" customFormat="1" ht="14.25" customHeight="1"/>
    <row r="688" customFormat="1" ht="14.25" customHeight="1"/>
    <row r="689" customFormat="1" ht="14.25" customHeight="1"/>
    <row r="690" customFormat="1" ht="14.25" customHeight="1"/>
    <row r="691" customFormat="1" ht="14.25" customHeight="1"/>
    <row r="692" customFormat="1" ht="14.25" customHeight="1"/>
    <row r="693" customFormat="1" ht="14.25" customHeight="1"/>
    <row r="694" customFormat="1" ht="14.25" customHeight="1"/>
    <row r="695" customFormat="1" ht="14.25" customHeight="1"/>
    <row r="696" customFormat="1" ht="14.25" customHeight="1"/>
    <row r="697" customFormat="1" ht="14.25" customHeight="1"/>
    <row r="698" customFormat="1" ht="14.25" customHeight="1"/>
    <row r="699" customFormat="1" ht="14.25" customHeight="1"/>
    <row r="700" customFormat="1" ht="14.25" customHeight="1"/>
    <row r="701" customFormat="1" ht="14.25" customHeight="1"/>
    <row r="702" customFormat="1" ht="14.25" customHeight="1"/>
    <row r="703" customFormat="1" ht="14.25" customHeight="1"/>
    <row r="704" customFormat="1" ht="14.25" customHeight="1"/>
    <row r="705" customFormat="1" ht="14.25" customHeight="1"/>
    <row r="706" customFormat="1" ht="14.25" customHeight="1"/>
    <row r="707" customFormat="1" ht="14.25" customHeight="1"/>
    <row r="708" customFormat="1" ht="14.25" customHeight="1"/>
    <row r="709" customFormat="1" ht="14.25" customHeight="1"/>
    <row r="710" customFormat="1" ht="14.25" customHeight="1"/>
    <row r="711" customFormat="1" ht="14.25" customHeight="1"/>
    <row r="712" customFormat="1" ht="14.25" customHeight="1"/>
    <row r="713" customFormat="1" ht="14.25" customHeight="1"/>
    <row r="714" customFormat="1" ht="14.25" customHeight="1"/>
    <row r="715" customFormat="1" ht="14.25" customHeight="1"/>
    <row r="716" customFormat="1" ht="14.25" customHeight="1"/>
    <row r="717" customFormat="1" ht="14.25" customHeight="1"/>
    <row r="718" customFormat="1" ht="14.25" customHeight="1"/>
    <row r="719" customFormat="1" ht="14.25" customHeight="1"/>
    <row r="720" customFormat="1" ht="14.25" customHeight="1"/>
    <row r="721" customFormat="1" ht="14.25" customHeight="1"/>
    <row r="722" customFormat="1" ht="14.25" customHeight="1"/>
    <row r="723" customFormat="1" ht="14.25" customHeight="1"/>
    <row r="724" customFormat="1" ht="14.25" customHeight="1"/>
    <row r="725" customFormat="1" ht="14.25" customHeight="1"/>
    <row r="726" customFormat="1" ht="14.25" customHeight="1"/>
    <row r="727" customFormat="1" ht="14.25" customHeight="1"/>
    <row r="728" customFormat="1" ht="14.25" customHeight="1"/>
    <row r="729" customFormat="1" ht="14.25" customHeight="1"/>
    <row r="730" customFormat="1" ht="14.25" customHeight="1"/>
    <row r="731" customFormat="1" ht="14.25" customHeight="1"/>
    <row r="732" customFormat="1" ht="14.25" customHeight="1"/>
    <row r="733" customFormat="1" ht="14.25" customHeight="1"/>
    <row r="734" customFormat="1" ht="14.25" customHeight="1"/>
    <row r="735" customFormat="1" ht="14.25" customHeight="1"/>
    <row r="736" customFormat="1" ht="14.25" customHeight="1"/>
    <row r="737" customFormat="1" ht="14.25" customHeight="1"/>
    <row r="738" customFormat="1" ht="14.25" customHeight="1"/>
    <row r="739" customFormat="1" ht="14.25" customHeight="1"/>
    <row r="740" customFormat="1" ht="14.25" customHeight="1"/>
    <row r="741" customFormat="1" ht="14.25" customHeight="1"/>
    <row r="742" customFormat="1" ht="14.25" customHeight="1"/>
    <row r="743" customFormat="1" ht="14.25" customHeight="1"/>
    <row r="744" customFormat="1" ht="14.25" customHeight="1"/>
    <row r="745" customFormat="1" ht="14.25" customHeight="1"/>
    <row r="746" customFormat="1" ht="14.25" customHeight="1"/>
    <row r="747" customFormat="1" ht="14.25" customHeight="1"/>
    <row r="748" customFormat="1" ht="14.25" customHeight="1"/>
    <row r="749" customFormat="1" ht="14.25" customHeight="1"/>
    <row r="750" customFormat="1" ht="14.25" customHeight="1"/>
    <row r="751" customFormat="1" ht="14.25" customHeight="1"/>
    <row r="752" customFormat="1" ht="14.25" customHeight="1"/>
    <row r="753" customFormat="1" ht="14.25" customHeight="1"/>
    <row r="754" customFormat="1" ht="14.25" customHeight="1"/>
    <row r="755" customFormat="1" ht="14.25" customHeight="1"/>
    <row r="756" customFormat="1" ht="14.25" customHeight="1"/>
    <row r="757" customFormat="1" ht="14.25" customHeight="1"/>
    <row r="758" customFormat="1" ht="14.25" customHeight="1"/>
    <row r="759" customFormat="1" ht="14.25" customHeight="1"/>
    <row r="760" customFormat="1" ht="14.25" customHeight="1"/>
    <row r="761" customFormat="1" ht="14.25" customHeight="1"/>
    <row r="762" customFormat="1" ht="14.25" customHeight="1"/>
    <row r="763" customFormat="1" ht="14.25" customHeight="1"/>
    <row r="764" customFormat="1" ht="14.25" customHeight="1"/>
    <row r="765" customFormat="1" ht="14.25" customHeight="1"/>
    <row r="766" customFormat="1" ht="14.25" customHeight="1"/>
    <row r="767" customFormat="1" ht="14.25" customHeight="1"/>
    <row r="768" customFormat="1" ht="14.25" customHeight="1"/>
    <row r="769" customFormat="1" ht="14.25" customHeight="1"/>
    <row r="770" customFormat="1" ht="14.25" customHeight="1"/>
    <row r="771" customFormat="1" ht="14.25" customHeight="1"/>
    <row r="772" customFormat="1" ht="14.25" customHeight="1"/>
    <row r="773" customFormat="1" ht="14.25" customHeight="1"/>
    <row r="774" customFormat="1" ht="14.25" customHeight="1"/>
    <row r="775" customFormat="1" ht="14.25" customHeight="1"/>
    <row r="776" customFormat="1" ht="14.25" customHeight="1"/>
    <row r="777" customFormat="1" ht="14.25" customHeight="1"/>
    <row r="778" customFormat="1" ht="14.25" customHeight="1"/>
    <row r="779" customFormat="1" ht="14.25" customHeight="1"/>
    <row r="780" customFormat="1" ht="14.25" customHeight="1"/>
    <row r="781" customFormat="1" ht="14.25" customHeight="1"/>
    <row r="782" customFormat="1" ht="14.25" customHeight="1"/>
    <row r="783" customFormat="1" ht="14.25" customHeight="1"/>
    <row r="784" customFormat="1" ht="14.25" customHeight="1"/>
    <row r="785" customFormat="1" ht="14.25" customHeight="1"/>
    <row r="786" customFormat="1" ht="14.25" customHeight="1"/>
    <row r="787" customFormat="1" ht="14.25" customHeight="1"/>
    <row r="788" customFormat="1" ht="14.25" customHeight="1"/>
    <row r="789" customFormat="1" ht="14.25" customHeight="1"/>
    <row r="790" customFormat="1" ht="14.25" customHeight="1"/>
    <row r="791" customFormat="1" ht="14.25" customHeight="1"/>
    <row r="792" customFormat="1" ht="14.25" customHeight="1"/>
    <row r="793" customFormat="1" ht="14.25" customHeight="1"/>
    <row r="794" customFormat="1" ht="14.25" customHeight="1"/>
    <row r="795" customFormat="1" ht="14.25" customHeight="1"/>
    <row r="796" customFormat="1" ht="14.25" customHeight="1"/>
    <row r="797" customFormat="1" ht="14.25" customHeight="1"/>
    <row r="798" customFormat="1" ht="14.25" customHeight="1"/>
    <row r="799" customFormat="1" ht="14.25" customHeight="1"/>
    <row r="800" customFormat="1" ht="14.25" customHeight="1"/>
    <row r="801" customFormat="1" ht="14.25" customHeight="1"/>
    <row r="802" customFormat="1" ht="14.25" customHeight="1"/>
    <row r="803" customFormat="1" ht="14.25" customHeight="1"/>
    <row r="804" customFormat="1" ht="14.25" customHeight="1"/>
    <row r="805" customFormat="1" ht="14.25" customHeight="1"/>
    <row r="806" customFormat="1" ht="14.25" customHeight="1"/>
    <row r="807" customFormat="1" ht="14.25" customHeight="1"/>
    <row r="808" customFormat="1" ht="14.25" customHeight="1"/>
    <row r="809" customFormat="1" ht="14.25" customHeight="1"/>
    <row r="810" customFormat="1" ht="14.25" customHeight="1"/>
    <row r="811" customFormat="1" ht="14.25" customHeight="1"/>
    <row r="812" customFormat="1" ht="14.25" customHeight="1"/>
    <row r="813" customFormat="1" ht="14.25" customHeight="1"/>
    <row r="814" customFormat="1" ht="14.25" customHeight="1"/>
    <row r="815" customFormat="1" ht="14.25" customHeight="1"/>
    <row r="816" customFormat="1" ht="14.25" customHeight="1"/>
    <row r="817" customFormat="1" ht="14.25" customHeight="1"/>
    <row r="818" customFormat="1" ht="14.25" customHeight="1"/>
    <row r="819" customFormat="1" ht="14.25" customHeight="1"/>
    <row r="820" customFormat="1" ht="14.25" customHeight="1"/>
    <row r="821" customFormat="1" ht="14.25" customHeight="1"/>
    <row r="822" customFormat="1" ht="14.25" customHeight="1"/>
    <row r="823" customFormat="1" ht="14.25" customHeight="1"/>
    <row r="824" customFormat="1" ht="14.25" customHeight="1"/>
    <row r="825" customFormat="1" ht="14.25" customHeight="1"/>
    <row r="826" customFormat="1" ht="14.25" customHeight="1"/>
    <row r="827" customFormat="1" ht="14.25" customHeight="1"/>
    <row r="828" customFormat="1" ht="14.25" customHeight="1"/>
    <row r="829" customFormat="1" ht="14.25" customHeight="1"/>
    <row r="830" customFormat="1" ht="14.25" customHeight="1"/>
    <row r="831" customFormat="1" ht="14.25" customHeight="1"/>
    <row r="832" customFormat="1" ht="14.25" customHeight="1"/>
    <row r="833" customFormat="1" ht="14.25" customHeight="1"/>
    <row r="834" customFormat="1" ht="14.25" customHeight="1"/>
    <row r="835" customFormat="1" ht="14.25" customHeight="1"/>
    <row r="836" customFormat="1" ht="14.25" customHeight="1"/>
    <row r="837" customFormat="1" ht="14.25" customHeight="1"/>
    <row r="838" customFormat="1" ht="14.25" customHeight="1"/>
    <row r="839" customFormat="1" ht="14.25" customHeight="1"/>
    <row r="840" customFormat="1" ht="14.25" customHeight="1"/>
    <row r="841" customFormat="1" ht="14.25" customHeight="1"/>
    <row r="842" customFormat="1" ht="14.25" customHeight="1"/>
    <row r="843" customFormat="1" ht="14.25" customHeight="1"/>
    <row r="844" customFormat="1" ht="14.25" customHeight="1"/>
    <row r="845" customFormat="1" ht="14.25" customHeight="1"/>
    <row r="846" customFormat="1" ht="14.25" customHeight="1"/>
    <row r="847" customFormat="1" ht="14.25" customHeight="1"/>
    <row r="848" customFormat="1" ht="14.25" customHeight="1"/>
    <row r="849" customFormat="1" ht="14.25" customHeight="1"/>
    <row r="850" customFormat="1" ht="14.25" customHeight="1"/>
    <row r="851" customFormat="1" ht="14.25" customHeight="1"/>
    <row r="852" customFormat="1" ht="14.25" customHeight="1"/>
    <row r="853" customFormat="1" ht="14.25" customHeight="1"/>
    <row r="854" customFormat="1" ht="14.25" customHeight="1"/>
    <row r="855" customFormat="1" ht="14.25" customHeight="1"/>
    <row r="856" customFormat="1" ht="14.25" customHeight="1"/>
    <row r="857" customFormat="1" ht="14.25" customHeight="1"/>
    <row r="858" customFormat="1" ht="14.25" customHeight="1"/>
    <row r="859" customFormat="1" ht="14.25" customHeight="1"/>
    <row r="860" customFormat="1" ht="14.25" customHeight="1"/>
    <row r="861" customFormat="1" ht="14.25" customHeight="1"/>
    <row r="862" customFormat="1" ht="14.25" customHeight="1"/>
    <row r="863" customFormat="1" ht="14.25" customHeight="1"/>
    <row r="864" customFormat="1" ht="14.25" customHeight="1"/>
    <row r="865" customFormat="1" ht="14.25" customHeight="1"/>
    <row r="866" customFormat="1" ht="14.25" customHeight="1"/>
    <row r="867" customFormat="1" ht="14.25" customHeight="1"/>
    <row r="868" customFormat="1" ht="14.25" customHeight="1"/>
    <row r="869" customFormat="1" ht="14.25" customHeight="1"/>
    <row r="870" customFormat="1" ht="14.25" customHeight="1"/>
    <row r="871" customFormat="1" ht="14.25" customHeight="1"/>
    <row r="872" customFormat="1" ht="14.25" customHeight="1"/>
    <row r="873" customFormat="1" ht="14.25" customHeight="1"/>
    <row r="874" customFormat="1" ht="14.25" customHeight="1"/>
    <row r="875" customFormat="1" ht="14.25" customHeight="1"/>
    <row r="876" customFormat="1" ht="14.25" customHeight="1"/>
    <row r="877" customFormat="1" ht="14.25" customHeight="1"/>
    <row r="878" customFormat="1" ht="14.25" customHeight="1"/>
    <row r="879" customFormat="1" ht="14.25" customHeight="1"/>
    <row r="880" customFormat="1" ht="14.25" customHeight="1"/>
    <row r="881" customFormat="1" ht="14.25" customHeight="1"/>
    <row r="882" customFormat="1" ht="14.25" customHeight="1"/>
    <row r="883" customFormat="1" ht="14.25" customHeight="1"/>
    <row r="884" customFormat="1" ht="14.25" customHeight="1"/>
    <row r="885" customFormat="1" ht="14.25" customHeight="1"/>
    <row r="886" customFormat="1" ht="14.25" customHeight="1"/>
    <row r="887" customFormat="1" ht="14.25" customHeight="1"/>
    <row r="888" customFormat="1" ht="14.25" customHeight="1"/>
    <row r="889" customFormat="1" ht="14.25" customHeight="1"/>
    <row r="890" customFormat="1" ht="14.25" customHeight="1"/>
    <row r="891" customFormat="1" ht="14.25" customHeight="1"/>
    <row r="892" customFormat="1" ht="14.25" customHeight="1"/>
    <row r="893" customFormat="1" ht="14.25" customHeight="1"/>
    <row r="894" customFormat="1" ht="14.25" customHeight="1"/>
    <row r="895" customFormat="1" ht="14.25" customHeight="1"/>
    <row r="896" customFormat="1" ht="14.25" customHeight="1"/>
    <row r="897" customFormat="1" ht="14.25" customHeight="1"/>
    <row r="898" customFormat="1" ht="14.25" customHeight="1"/>
    <row r="899" customFormat="1" ht="14.25" customHeight="1"/>
    <row r="900" customFormat="1" ht="14.25" customHeight="1"/>
    <row r="901" customFormat="1" ht="14.25" customHeight="1"/>
    <row r="902" customFormat="1" ht="14.25" customHeight="1"/>
    <row r="903" customFormat="1" ht="14.25" customHeight="1"/>
    <row r="904" customFormat="1" ht="14.25" customHeight="1"/>
    <row r="905" customFormat="1" ht="14.25" customHeight="1"/>
    <row r="906" customFormat="1" ht="14.25" customHeight="1"/>
    <row r="907" customFormat="1" ht="14.25" customHeight="1"/>
    <row r="908" customFormat="1" ht="14.25" customHeight="1"/>
    <row r="909" customFormat="1" ht="14.25" customHeight="1"/>
    <row r="910" customFormat="1" ht="14.25" customHeight="1"/>
    <row r="911" customFormat="1" ht="14.25" customHeight="1"/>
    <row r="912" customFormat="1" ht="14.25" customHeight="1"/>
    <row r="913" customFormat="1" ht="14.25" customHeight="1"/>
    <row r="914" customFormat="1" ht="14.25" customHeight="1"/>
    <row r="915" customFormat="1" ht="14.25" customHeight="1"/>
    <row r="916" customFormat="1" ht="14.25" customHeight="1"/>
    <row r="917" customFormat="1" ht="14.25" customHeight="1"/>
    <row r="918" customFormat="1" ht="14.25" customHeight="1"/>
    <row r="919" customFormat="1" ht="14.25" customHeight="1"/>
    <row r="920" customFormat="1" ht="14.25" customHeight="1"/>
    <row r="921" customFormat="1" ht="14.25" customHeight="1"/>
    <row r="922" customFormat="1" ht="14.25" customHeight="1"/>
    <row r="923" customFormat="1" ht="14.25" customHeight="1"/>
    <row r="924" customFormat="1" ht="14.25" customHeight="1"/>
    <row r="925" customFormat="1" ht="14.25" customHeight="1"/>
    <row r="926" customFormat="1" ht="14.25" customHeight="1"/>
    <row r="927" customFormat="1" ht="14.25" customHeight="1"/>
    <row r="928" customFormat="1" ht="14.25" customHeight="1"/>
    <row r="929" customFormat="1" ht="14.25" customHeight="1"/>
    <row r="930" customFormat="1" ht="14.25" customHeight="1"/>
    <row r="931" customFormat="1" ht="14.25" customHeight="1"/>
    <row r="932" customFormat="1" ht="14.25" customHeight="1"/>
    <row r="933" customFormat="1" ht="14.25" customHeight="1"/>
    <row r="934" customFormat="1" ht="14.25" customHeight="1"/>
    <row r="935" customFormat="1" ht="14.25" customHeight="1"/>
    <row r="936" customFormat="1" ht="14.25" customHeight="1"/>
    <row r="937" customFormat="1" ht="14.25" customHeight="1"/>
    <row r="938" customFormat="1" ht="14.25" customHeight="1"/>
    <row r="939" customFormat="1" ht="14.25" customHeight="1"/>
    <row r="940" customFormat="1" ht="14.25" customHeight="1"/>
    <row r="941" customFormat="1" ht="14.25" customHeight="1"/>
    <row r="942" customFormat="1" ht="14.25" customHeight="1"/>
    <row r="943" customFormat="1" ht="14.25" customHeight="1"/>
    <row r="944" customFormat="1" ht="14.25" customHeight="1"/>
    <row r="945" customFormat="1" ht="14.25" customHeight="1"/>
    <row r="946" customFormat="1" ht="14.25" customHeight="1"/>
    <row r="947" customFormat="1" ht="14.25" customHeight="1"/>
    <row r="948" customFormat="1" ht="14.25" customHeight="1"/>
    <row r="949" customFormat="1" ht="14.25" customHeight="1"/>
    <row r="950" customFormat="1" ht="14.25" customHeight="1"/>
    <row r="951" customFormat="1" ht="14.25" customHeight="1"/>
    <row r="952" customFormat="1" ht="14.25" customHeight="1"/>
    <row r="953" customFormat="1" ht="14.25" customHeight="1"/>
    <row r="954" customFormat="1" ht="14.25" customHeight="1"/>
    <row r="955" customFormat="1" ht="14.25" customHeight="1"/>
    <row r="956" customFormat="1" ht="14.25" customHeight="1"/>
    <row r="957" customFormat="1" ht="14.25" customHeight="1"/>
    <row r="958" customFormat="1" ht="14.25" customHeight="1"/>
    <row r="959" customFormat="1" ht="14.25" customHeight="1"/>
    <row r="960" customFormat="1" ht="14.25" customHeight="1"/>
    <row r="961" customFormat="1" ht="14.25" customHeight="1"/>
    <row r="962" customFormat="1" ht="14.25" customHeight="1"/>
    <row r="963" customFormat="1" ht="14.25" customHeight="1"/>
    <row r="964" customFormat="1" ht="14.25" customHeight="1"/>
    <row r="965" customFormat="1" ht="14.25" customHeight="1"/>
    <row r="966" customFormat="1" ht="14.25" customHeight="1"/>
    <row r="967" customFormat="1" ht="14.25" customHeight="1"/>
    <row r="968" customFormat="1" ht="14.25" customHeight="1"/>
    <row r="969" customFormat="1" ht="14.25" customHeight="1"/>
    <row r="970" customFormat="1" ht="14.25" customHeight="1"/>
    <row r="971" customFormat="1" ht="14.25" customHeight="1"/>
    <row r="972" customFormat="1" ht="14.25" customHeight="1"/>
    <row r="973" customFormat="1" ht="14.25" customHeight="1"/>
    <row r="974" customFormat="1" ht="14.25" customHeight="1"/>
    <row r="975" customFormat="1" ht="14.25" customHeight="1"/>
    <row r="976" customFormat="1" ht="14.25" customHeight="1"/>
    <row r="977" customFormat="1" ht="14.25" customHeight="1"/>
    <row r="978" customFormat="1" ht="14.25" customHeight="1"/>
    <row r="979" customFormat="1" ht="14.25" customHeight="1"/>
    <row r="980" customFormat="1" ht="14.25" customHeight="1"/>
    <row r="981" customFormat="1" ht="14.25" customHeight="1"/>
    <row r="982" customFormat="1" ht="14.25" customHeight="1"/>
    <row r="983" customFormat="1" ht="14.25" customHeight="1"/>
    <row r="984" customFormat="1" ht="14.25" customHeight="1"/>
    <row r="985" customFormat="1" ht="14.25" customHeight="1"/>
    <row r="986" customFormat="1" ht="14.25" customHeight="1"/>
    <row r="987" customFormat="1" ht="14.25" customHeight="1"/>
    <row r="988" customFormat="1" ht="14.25" customHeight="1"/>
    <row r="989" customFormat="1" ht="14.25" customHeight="1"/>
    <row r="990" customFormat="1" ht="14.25" customHeight="1"/>
    <row r="991" customFormat="1" ht="14.25" customHeight="1"/>
    <row r="992" customFormat="1" ht="14.25" customHeight="1"/>
    <row r="993" customFormat="1" ht="14.25" customHeight="1"/>
    <row r="994" customFormat="1" ht="14.25" customHeight="1"/>
    <row r="995" customFormat="1" ht="14.25" customHeight="1"/>
    <row r="996" customFormat="1" ht="14.25" customHeight="1"/>
    <row r="997" customFormat="1" ht="14.25" customHeight="1"/>
    <row r="998" customFormat="1" ht="14.25" customHeight="1"/>
    <row r="999" customFormat="1" ht="14.25" customHeight="1"/>
    <row r="1000" customFormat="1" ht="14.25" customHeight="1"/>
  </sheetData>
  <mergeCells count="65">
    <mergeCell ref="G24:G25"/>
    <mergeCell ref="H24:H25"/>
    <mergeCell ref="I24:I25"/>
    <mergeCell ref="J24:J25"/>
    <mergeCell ref="K24:K25"/>
    <mergeCell ref="B24:B25"/>
    <mergeCell ref="C24:C25"/>
    <mergeCell ref="D24:D25"/>
    <mergeCell ref="E24:E25"/>
    <mergeCell ref="F24:F25"/>
    <mergeCell ref="B20:B23"/>
    <mergeCell ref="C20:C23"/>
    <mergeCell ref="D20:D23"/>
    <mergeCell ref="E20:E23"/>
    <mergeCell ref="F20:F23"/>
    <mergeCell ref="K12:K14"/>
    <mergeCell ref="L12:L14"/>
    <mergeCell ref="M12:M14"/>
    <mergeCell ref="B16:B19"/>
    <mergeCell ref="C16:C19"/>
    <mergeCell ref="D16:D19"/>
    <mergeCell ref="E16:E19"/>
    <mergeCell ref="F16:F19"/>
    <mergeCell ref="G16:G19"/>
    <mergeCell ref="H16:H19"/>
    <mergeCell ref="I16:I19"/>
    <mergeCell ref="J16:J19"/>
    <mergeCell ref="K16:K19"/>
    <mergeCell ref="L16:L19"/>
    <mergeCell ref="M16:M19"/>
    <mergeCell ref="A1:B1"/>
    <mergeCell ref="B2:M3"/>
    <mergeCell ref="B7:B11"/>
    <mergeCell ref="C7:C11"/>
    <mergeCell ref="D7:D11"/>
    <mergeCell ref="E7:E11"/>
    <mergeCell ref="F7:F11"/>
    <mergeCell ref="G7:G11"/>
    <mergeCell ref="H7:H11"/>
    <mergeCell ref="I7:I11"/>
    <mergeCell ref="J7:J11"/>
    <mergeCell ref="K7:K11"/>
    <mergeCell ref="L7:L11"/>
    <mergeCell ref="M7:M11"/>
    <mergeCell ref="C12:C14"/>
    <mergeCell ref="D12:D14"/>
    <mergeCell ref="E12:E14"/>
    <mergeCell ref="B26:M26"/>
    <mergeCell ref="N7:O11"/>
    <mergeCell ref="B12:B14"/>
    <mergeCell ref="F12:F14"/>
    <mergeCell ref="G12:G14"/>
    <mergeCell ref="H12:H14"/>
    <mergeCell ref="I12:I14"/>
    <mergeCell ref="J12:J14"/>
    <mergeCell ref="G20:G23"/>
    <mergeCell ref="H20:H23"/>
    <mergeCell ref="I20:I23"/>
    <mergeCell ref="J20:J23"/>
    <mergeCell ref="K20:K23"/>
    <mergeCell ref="L20:L23"/>
    <mergeCell ref="M20:M23"/>
    <mergeCell ref="L24:L25"/>
    <mergeCell ref="M24:M25"/>
    <mergeCell ref="N24:O25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Q1000"/>
  <sheetViews>
    <sheetView tabSelected="1" workbookViewId="0">
      <selection activeCell="I74" sqref="I74"/>
    </sheetView>
  </sheetViews>
  <sheetFormatPr defaultColWidth="133.5546875" defaultRowHeight="13.2"/>
  <cols>
    <col min="1" max="1" width="36.109375" bestFit="1" customWidth="1"/>
    <col min="2" max="2" width="29" bestFit="1" customWidth="1"/>
    <col min="3" max="3" width="22.44140625" bestFit="1" customWidth="1"/>
    <col min="4" max="4" width="22" bestFit="1" customWidth="1"/>
    <col min="5" max="5" width="11.77734375" bestFit="1" customWidth="1"/>
    <col min="6" max="6" width="11.21875" bestFit="1" customWidth="1"/>
    <col min="7" max="7" width="23.77734375" bestFit="1" customWidth="1"/>
    <col min="8" max="8" width="23.33203125" bestFit="1" customWidth="1"/>
    <col min="9" max="9" width="22.6640625" bestFit="1" customWidth="1"/>
    <col min="10" max="10" width="10.6640625" bestFit="1" customWidth="1"/>
    <col min="11" max="11" width="25.44140625" bestFit="1" customWidth="1"/>
    <col min="12" max="12" width="19" bestFit="1" customWidth="1"/>
    <col min="13" max="13" width="95.6640625" bestFit="1" customWidth="1"/>
    <col min="14" max="14" width="6.33203125" bestFit="1" customWidth="1"/>
  </cols>
  <sheetData>
    <row r="1" spans="1:17" s="816" customFormat="1" ht="30.6" thickBot="1">
      <c r="A1" s="812"/>
      <c r="B1" s="813" t="s">
        <v>79</v>
      </c>
      <c r="C1" s="813" t="s">
        <v>367</v>
      </c>
      <c r="D1" s="813" t="s">
        <v>414</v>
      </c>
      <c r="E1" s="813" t="s">
        <v>773</v>
      </c>
      <c r="F1" s="813" t="s">
        <v>415</v>
      </c>
      <c r="G1" s="813" t="s">
        <v>416</v>
      </c>
      <c r="H1" s="813" t="s">
        <v>774</v>
      </c>
      <c r="I1" s="813" t="s">
        <v>775</v>
      </c>
      <c r="J1" s="813" t="s">
        <v>417</v>
      </c>
      <c r="K1" s="813" t="s">
        <v>776</v>
      </c>
      <c r="L1" s="814" t="s">
        <v>418</v>
      </c>
      <c r="M1" s="812" t="s">
        <v>419</v>
      </c>
      <c r="N1" s="814" t="s">
        <v>777</v>
      </c>
      <c r="O1" s="815"/>
      <c r="P1" s="815"/>
      <c r="Q1" s="815"/>
    </row>
    <row r="2" spans="1:17" s="816" customFormat="1" ht="41.4">
      <c r="A2" s="817">
        <v>1</v>
      </c>
      <c r="B2" s="818" t="s">
        <v>423</v>
      </c>
      <c r="C2" s="819" t="s">
        <v>10</v>
      </c>
      <c r="D2" s="820" t="s">
        <v>421</v>
      </c>
      <c r="E2" s="821">
        <v>100000</v>
      </c>
      <c r="F2" s="822">
        <v>0</v>
      </c>
      <c r="G2" s="822">
        <v>0.1</v>
      </c>
      <c r="H2" s="823">
        <v>1</v>
      </c>
      <c r="I2" s="822">
        <v>0.03</v>
      </c>
      <c r="J2" s="822">
        <v>0.02</v>
      </c>
      <c r="K2" s="824">
        <v>0.05</v>
      </c>
      <c r="L2" s="825" t="s">
        <v>760</v>
      </c>
      <c r="M2" s="826" t="s">
        <v>761</v>
      </c>
      <c r="N2" s="827">
        <v>0</v>
      </c>
      <c r="O2" s="815"/>
      <c r="P2" s="815"/>
      <c r="Q2" s="815"/>
    </row>
    <row r="3" spans="1:17" s="816" customFormat="1" ht="27.6">
      <c r="A3" s="819">
        <f>1+A2</f>
        <v>2</v>
      </c>
      <c r="B3" s="818" t="s">
        <v>425</v>
      </c>
      <c r="C3" s="819" t="s">
        <v>6</v>
      </c>
      <c r="D3" s="820" t="s">
        <v>421</v>
      </c>
      <c r="E3" s="821">
        <v>100000</v>
      </c>
      <c r="F3" s="822">
        <v>0</v>
      </c>
      <c r="G3" s="822">
        <v>0.15</v>
      </c>
      <c r="H3" s="823">
        <v>1</v>
      </c>
      <c r="I3" s="822">
        <v>0.03</v>
      </c>
      <c r="J3" s="822">
        <v>0.02</v>
      </c>
      <c r="K3" s="824">
        <v>0</v>
      </c>
      <c r="L3" s="825" t="s">
        <v>760</v>
      </c>
      <c r="M3" s="826" t="s">
        <v>762</v>
      </c>
      <c r="N3" s="827">
        <v>0</v>
      </c>
      <c r="O3" s="815"/>
      <c r="P3" s="815"/>
      <c r="Q3" s="815"/>
    </row>
    <row r="4" spans="1:17" s="816" customFormat="1" ht="27.6">
      <c r="A4" s="819">
        <f t="shared" ref="A4:A24" si="0">1+A3</f>
        <v>3</v>
      </c>
      <c r="B4" s="818" t="s">
        <v>426</v>
      </c>
      <c r="C4" s="819" t="s">
        <v>24</v>
      </c>
      <c r="D4" s="820" t="s">
        <v>421</v>
      </c>
      <c r="E4" s="821">
        <v>100000</v>
      </c>
      <c r="F4" s="822">
        <v>0.05</v>
      </c>
      <c r="G4" s="822">
        <v>0.1</v>
      </c>
      <c r="H4" s="823">
        <v>1</v>
      </c>
      <c r="I4" s="822">
        <v>0.03</v>
      </c>
      <c r="J4" s="822">
        <v>0.02</v>
      </c>
      <c r="K4" s="824">
        <v>0.05</v>
      </c>
      <c r="L4" s="825" t="s">
        <v>760</v>
      </c>
      <c r="M4" s="828" t="s">
        <v>763</v>
      </c>
      <c r="N4" s="827">
        <v>0</v>
      </c>
      <c r="O4" s="815"/>
      <c r="P4" s="815"/>
      <c r="Q4" s="815"/>
    </row>
    <row r="5" spans="1:17" s="816" customFormat="1" ht="41.4">
      <c r="A5" s="819">
        <f t="shared" si="0"/>
        <v>4</v>
      </c>
      <c r="B5" s="818" t="s">
        <v>427</v>
      </c>
      <c r="C5" s="819" t="s">
        <v>10</v>
      </c>
      <c r="D5" s="820" t="s">
        <v>421</v>
      </c>
      <c r="E5" s="821">
        <v>100000</v>
      </c>
      <c r="F5" s="822">
        <v>0</v>
      </c>
      <c r="G5" s="822">
        <v>0.1</v>
      </c>
      <c r="H5" s="823">
        <v>1</v>
      </c>
      <c r="I5" s="822">
        <v>0.03</v>
      </c>
      <c r="J5" s="822">
        <v>0.02</v>
      </c>
      <c r="K5" s="824">
        <v>0.05</v>
      </c>
      <c r="L5" s="825" t="s">
        <v>760</v>
      </c>
      <c r="M5" s="828" t="s">
        <v>761</v>
      </c>
      <c r="N5" s="827">
        <v>0</v>
      </c>
      <c r="O5" s="815"/>
      <c r="P5" s="815"/>
      <c r="Q5" s="815"/>
    </row>
    <row r="6" spans="1:17" s="816" customFormat="1" ht="27.6">
      <c r="A6" s="819">
        <f t="shared" si="0"/>
        <v>5</v>
      </c>
      <c r="B6" s="818" t="s">
        <v>428</v>
      </c>
      <c r="C6" s="819" t="s">
        <v>7</v>
      </c>
      <c r="D6" s="820" t="s">
        <v>421</v>
      </c>
      <c r="E6" s="821">
        <v>100000</v>
      </c>
      <c r="F6" s="822">
        <v>0</v>
      </c>
      <c r="G6" s="822">
        <v>0.15</v>
      </c>
      <c r="H6" s="823">
        <v>1</v>
      </c>
      <c r="I6" s="822">
        <v>0.03</v>
      </c>
      <c r="J6" s="822">
        <v>0.02</v>
      </c>
      <c r="K6" s="824">
        <v>0</v>
      </c>
      <c r="L6" s="825" t="s">
        <v>760</v>
      </c>
      <c r="M6" s="826" t="s">
        <v>764</v>
      </c>
      <c r="N6" s="827">
        <v>0</v>
      </c>
      <c r="O6" s="815"/>
      <c r="P6" s="815"/>
      <c r="Q6" s="815"/>
    </row>
    <row r="7" spans="1:17" s="816" customFormat="1" ht="15.6">
      <c r="A7" s="819">
        <f t="shared" si="0"/>
        <v>6</v>
      </c>
      <c r="B7" s="818" t="s">
        <v>429</v>
      </c>
      <c r="C7" s="819" t="s">
        <v>7</v>
      </c>
      <c r="D7" s="820" t="s">
        <v>421</v>
      </c>
      <c r="E7" s="821">
        <v>100000</v>
      </c>
      <c r="F7" s="822">
        <v>0</v>
      </c>
      <c r="G7" s="822">
        <v>0.15</v>
      </c>
      <c r="H7" s="823">
        <v>1</v>
      </c>
      <c r="I7" s="822">
        <v>0.03</v>
      </c>
      <c r="J7" s="822">
        <v>0.02</v>
      </c>
      <c r="K7" s="824">
        <v>0</v>
      </c>
      <c r="L7" s="825" t="s">
        <v>760</v>
      </c>
      <c r="M7" s="826" t="s">
        <v>422</v>
      </c>
      <c r="N7" s="827">
        <v>0</v>
      </c>
      <c r="O7" s="815"/>
      <c r="P7" s="815"/>
      <c r="Q7" s="815"/>
    </row>
    <row r="8" spans="1:17" s="816" customFormat="1" ht="15.6">
      <c r="A8" s="819">
        <f t="shared" si="0"/>
        <v>7</v>
      </c>
      <c r="B8" s="829" t="s">
        <v>430</v>
      </c>
      <c r="C8" s="830" t="s">
        <v>6</v>
      </c>
      <c r="D8" s="820" t="s">
        <v>421</v>
      </c>
      <c r="E8" s="821">
        <v>100000</v>
      </c>
      <c r="F8" s="822">
        <v>0</v>
      </c>
      <c r="G8" s="822">
        <v>0.18</v>
      </c>
      <c r="H8" s="823">
        <v>1</v>
      </c>
      <c r="I8" s="822">
        <v>0</v>
      </c>
      <c r="J8" s="822">
        <v>0.02</v>
      </c>
      <c r="K8" s="824">
        <v>0</v>
      </c>
      <c r="L8" s="825" t="s">
        <v>760</v>
      </c>
      <c r="M8" s="826" t="s">
        <v>422</v>
      </c>
      <c r="N8" s="827">
        <v>0</v>
      </c>
      <c r="O8" s="815"/>
      <c r="P8" s="815"/>
      <c r="Q8" s="815"/>
    </row>
    <row r="9" spans="1:17" s="816" customFormat="1" ht="15.6">
      <c r="A9" s="819">
        <f t="shared" si="0"/>
        <v>8</v>
      </c>
      <c r="B9" s="829" t="s">
        <v>431</v>
      </c>
      <c r="C9" s="830" t="s">
        <v>30</v>
      </c>
      <c r="D9" s="820" t="s">
        <v>421</v>
      </c>
      <c r="E9" s="821">
        <v>100000</v>
      </c>
      <c r="F9" s="831">
        <v>0</v>
      </c>
      <c r="G9" s="831">
        <v>0.2</v>
      </c>
      <c r="H9" s="832">
        <v>1</v>
      </c>
      <c r="I9" s="831">
        <v>0</v>
      </c>
      <c r="J9" s="831">
        <v>0</v>
      </c>
      <c r="K9" s="833">
        <v>0</v>
      </c>
      <c r="L9" s="825" t="s">
        <v>760</v>
      </c>
      <c r="M9" s="834" t="s">
        <v>432</v>
      </c>
      <c r="N9" s="827">
        <v>0</v>
      </c>
      <c r="O9" s="815"/>
      <c r="P9" s="815"/>
      <c r="Q9" s="815"/>
    </row>
    <row r="10" spans="1:17" s="816" customFormat="1" ht="41.4">
      <c r="A10" s="819">
        <f t="shared" si="0"/>
        <v>9</v>
      </c>
      <c r="B10" s="829" t="s">
        <v>433</v>
      </c>
      <c r="C10" s="830" t="s">
        <v>7</v>
      </c>
      <c r="D10" s="835" t="s">
        <v>26</v>
      </c>
      <c r="E10" s="836">
        <v>100000</v>
      </c>
      <c r="F10" s="831">
        <v>0</v>
      </c>
      <c r="G10" s="831">
        <v>0.1</v>
      </c>
      <c r="H10" s="832">
        <v>1</v>
      </c>
      <c r="I10" s="831">
        <v>0</v>
      </c>
      <c r="J10" s="831">
        <v>0</v>
      </c>
      <c r="K10" s="833">
        <v>0.1</v>
      </c>
      <c r="L10" s="837" t="s">
        <v>760</v>
      </c>
      <c r="M10" s="838" t="s">
        <v>765</v>
      </c>
      <c r="N10" s="839">
        <v>0</v>
      </c>
      <c r="O10" s="815"/>
      <c r="P10" s="815"/>
      <c r="Q10" s="815"/>
    </row>
    <row r="11" spans="1:17" s="816" customFormat="1" ht="16.2" thickBot="1">
      <c r="A11" s="840">
        <f t="shared" si="0"/>
        <v>10</v>
      </c>
      <c r="B11" s="841" t="s">
        <v>766</v>
      </c>
      <c r="C11" s="840" t="s">
        <v>6</v>
      </c>
      <c r="D11" s="842" t="s">
        <v>26</v>
      </c>
      <c r="E11" s="843">
        <v>100000</v>
      </c>
      <c r="F11" s="844">
        <v>0.05</v>
      </c>
      <c r="G11" s="844">
        <v>0.1</v>
      </c>
      <c r="H11" s="845">
        <v>1</v>
      </c>
      <c r="I11" s="844">
        <v>0</v>
      </c>
      <c r="J11" s="844">
        <v>0</v>
      </c>
      <c r="K11" s="846">
        <v>0.1</v>
      </c>
      <c r="L11" s="847" t="s">
        <v>760</v>
      </c>
      <c r="M11" s="848" t="s">
        <v>767</v>
      </c>
      <c r="N11" s="849">
        <v>0</v>
      </c>
      <c r="O11" s="815"/>
      <c r="P11" s="815"/>
      <c r="Q11" s="815"/>
    </row>
    <row r="12" spans="1:17" s="859" customFormat="1" ht="14.4">
      <c r="A12" s="850">
        <f t="shared" si="0"/>
        <v>11</v>
      </c>
      <c r="B12" s="851" t="s">
        <v>434</v>
      </c>
      <c r="C12" s="850" t="s">
        <v>2</v>
      </c>
      <c r="D12" s="852" t="s">
        <v>29</v>
      </c>
      <c r="E12" s="853">
        <v>100000</v>
      </c>
      <c r="F12" s="854">
        <v>0.04</v>
      </c>
      <c r="G12" s="854">
        <v>0.1</v>
      </c>
      <c r="H12" s="855">
        <v>18</v>
      </c>
      <c r="I12" s="854">
        <v>0.05</v>
      </c>
      <c r="J12" s="854">
        <v>0</v>
      </c>
      <c r="K12" s="854">
        <v>0.05</v>
      </c>
      <c r="L12" s="856" t="s">
        <v>760</v>
      </c>
      <c r="M12" s="857" t="s">
        <v>435</v>
      </c>
      <c r="N12" s="854">
        <v>0</v>
      </c>
      <c r="O12" s="858"/>
      <c r="P12" s="858"/>
      <c r="Q12" s="858"/>
    </row>
    <row r="13" spans="1:17" s="859" customFormat="1" ht="14.4">
      <c r="A13" s="860">
        <f t="shared" si="0"/>
        <v>12</v>
      </c>
      <c r="B13" s="861" t="s">
        <v>768</v>
      </c>
      <c r="C13" s="860" t="s">
        <v>7</v>
      </c>
      <c r="D13" s="862" t="s">
        <v>29</v>
      </c>
      <c r="E13" s="863">
        <v>100000</v>
      </c>
      <c r="F13" s="864">
        <v>0.02</v>
      </c>
      <c r="G13" s="864">
        <v>0.09</v>
      </c>
      <c r="H13" s="865">
        <v>21</v>
      </c>
      <c r="I13" s="864">
        <v>0.06</v>
      </c>
      <c r="J13" s="864">
        <v>0</v>
      </c>
      <c r="K13" s="864">
        <v>0.05</v>
      </c>
      <c r="L13" s="866" t="s">
        <v>760</v>
      </c>
      <c r="M13" s="867" t="s">
        <v>435</v>
      </c>
      <c r="N13" s="864">
        <v>0</v>
      </c>
      <c r="O13" s="858"/>
      <c r="P13" s="858"/>
      <c r="Q13" s="858"/>
    </row>
    <row r="14" spans="1:17" s="859" customFormat="1" ht="14.4">
      <c r="A14" s="860">
        <f t="shared" si="0"/>
        <v>13</v>
      </c>
      <c r="B14" s="861" t="s">
        <v>437</v>
      </c>
      <c r="C14" s="860" t="s">
        <v>6</v>
      </c>
      <c r="D14" s="862" t="s">
        <v>29</v>
      </c>
      <c r="E14" s="863">
        <v>100000</v>
      </c>
      <c r="F14" s="864">
        <v>0</v>
      </c>
      <c r="G14" s="864">
        <v>0.05</v>
      </c>
      <c r="H14" s="865">
        <v>21</v>
      </c>
      <c r="I14" s="864">
        <v>0.15</v>
      </c>
      <c r="J14" s="864">
        <v>0</v>
      </c>
      <c r="K14" s="864">
        <v>0</v>
      </c>
      <c r="L14" s="866" t="s">
        <v>760</v>
      </c>
      <c r="M14" s="868"/>
      <c r="N14" s="864">
        <v>0</v>
      </c>
      <c r="O14" s="858"/>
      <c r="P14" s="858"/>
      <c r="Q14" s="858"/>
    </row>
    <row r="15" spans="1:17" s="859" customFormat="1" ht="14.4">
      <c r="A15" s="860">
        <f t="shared" si="0"/>
        <v>14</v>
      </c>
      <c r="B15" s="861" t="s">
        <v>438</v>
      </c>
      <c r="C15" s="860" t="s">
        <v>6</v>
      </c>
      <c r="D15" s="862" t="s">
        <v>31</v>
      </c>
      <c r="E15" s="863">
        <v>100000</v>
      </c>
      <c r="F15" s="864">
        <v>0</v>
      </c>
      <c r="G15" s="864">
        <v>0.09</v>
      </c>
      <c r="H15" s="865">
        <v>26</v>
      </c>
      <c r="I15" s="864">
        <v>0.06</v>
      </c>
      <c r="J15" s="864">
        <v>0</v>
      </c>
      <c r="K15" s="864">
        <v>0.05</v>
      </c>
      <c r="L15" s="866" t="s">
        <v>760</v>
      </c>
      <c r="M15" s="868" t="s">
        <v>435</v>
      </c>
      <c r="N15" s="864">
        <v>0</v>
      </c>
    </row>
    <row r="16" spans="1:17" s="859" customFormat="1" ht="14.4">
      <c r="A16" s="860">
        <f t="shared" si="0"/>
        <v>15</v>
      </c>
      <c r="B16" s="861" t="s">
        <v>439</v>
      </c>
      <c r="C16" s="860" t="s">
        <v>6</v>
      </c>
      <c r="D16" s="862" t="s">
        <v>32</v>
      </c>
      <c r="E16" s="863">
        <v>100000</v>
      </c>
      <c r="F16" s="864">
        <v>0</v>
      </c>
      <c r="G16" s="864">
        <v>0.09</v>
      </c>
      <c r="H16" s="865">
        <v>31</v>
      </c>
      <c r="I16" s="864">
        <v>0.06</v>
      </c>
      <c r="J16" s="864">
        <v>0</v>
      </c>
      <c r="K16" s="864">
        <v>0.05</v>
      </c>
      <c r="L16" s="866" t="s">
        <v>760</v>
      </c>
      <c r="M16" s="867" t="s">
        <v>435</v>
      </c>
      <c r="N16" s="864">
        <v>0</v>
      </c>
    </row>
    <row r="17" spans="1:15" s="859" customFormat="1" ht="14.4">
      <c r="A17" s="860">
        <f t="shared" si="0"/>
        <v>16</v>
      </c>
      <c r="B17" s="861" t="s">
        <v>440</v>
      </c>
      <c r="C17" s="860" t="s">
        <v>7</v>
      </c>
      <c r="D17" s="862" t="s">
        <v>33</v>
      </c>
      <c r="E17" s="863">
        <v>100000</v>
      </c>
      <c r="F17" s="864">
        <v>0</v>
      </c>
      <c r="G17" s="864">
        <v>7.0000000000000007E-2</v>
      </c>
      <c r="H17" s="865">
        <v>34</v>
      </c>
      <c r="I17" s="864">
        <v>0.08</v>
      </c>
      <c r="J17" s="864">
        <v>0</v>
      </c>
      <c r="K17" s="864">
        <v>0.05</v>
      </c>
      <c r="L17" s="866" t="s">
        <v>760</v>
      </c>
      <c r="M17" s="867" t="s">
        <v>435</v>
      </c>
      <c r="N17" s="864">
        <v>0</v>
      </c>
    </row>
    <row r="18" spans="1:15" s="859" customFormat="1" ht="14.4">
      <c r="A18" s="860">
        <f t="shared" si="0"/>
        <v>17</v>
      </c>
      <c r="B18" s="861" t="s">
        <v>441</v>
      </c>
      <c r="C18" s="860" t="s">
        <v>769</v>
      </c>
      <c r="D18" s="862" t="s">
        <v>32</v>
      </c>
      <c r="E18" s="863">
        <v>100000</v>
      </c>
      <c r="F18" s="864">
        <v>0.02</v>
      </c>
      <c r="G18" s="864">
        <v>0.15</v>
      </c>
      <c r="H18" s="865">
        <v>21</v>
      </c>
      <c r="I18" s="864">
        <v>0.03</v>
      </c>
      <c r="J18" s="864">
        <v>0</v>
      </c>
      <c r="K18" s="864">
        <v>0.02</v>
      </c>
      <c r="L18" s="866" t="s">
        <v>760</v>
      </c>
      <c r="M18" s="867" t="s">
        <v>442</v>
      </c>
      <c r="N18" s="864">
        <v>0</v>
      </c>
    </row>
    <row r="19" spans="1:15" s="859" customFormat="1" ht="14.4">
      <c r="A19" s="860">
        <f t="shared" si="0"/>
        <v>18</v>
      </c>
      <c r="B19" s="861" t="s">
        <v>443</v>
      </c>
      <c r="C19" s="860" t="s">
        <v>3</v>
      </c>
      <c r="D19" s="862" t="s">
        <v>29</v>
      </c>
      <c r="E19" s="863">
        <v>100000</v>
      </c>
      <c r="F19" s="864">
        <v>0</v>
      </c>
      <c r="G19" s="864">
        <v>0.13</v>
      </c>
      <c r="H19" s="865">
        <v>21</v>
      </c>
      <c r="I19" s="864">
        <v>3.5000000000000003E-2</v>
      </c>
      <c r="J19" s="864">
        <v>0</v>
      </c>
      <c r="K19" s="864">
        <v>3.5000000000000003E-2</v>
      </c>
      <c r="L19" s="866" t="s">
        <v>760</v>
      </c>
      <c r="M19" s="867" t="s">
        <v>444</v>
      </c>
      <c r="N19" s="864">
        <v>0</v>
      </c>
    </row>
    <row r="20" spans="1:15" s="859" customFormat="1" ht="14.4">
      <c r="A20" s="860">
        <f t="shared" si="0"/>
        <v>19</v>
      </c>
      <c r="B20" s="861" t="s">
        <v>445</v>
      </c>
      <c r="C20" s="860" t="s">
        <v>6</v>
      </c>
      <c r="D20" s="862" t="s">
        <v>33</v>
      </c>
      <c r="E20" s="863">
        <v>100000</v>
      </c>
      <c r="F20" s="864">
        <v>0.02</v>
      </c>
      <c r="G20" s="864">
        <v>0.1</v>
      </c>
      <c r="H20" s="865">
        <v>31</v>
      </c>
      <c r="I20" s="864">
        <v>0.05</v>
      </c>
      <c r="J20" s="864">
        <v>0</v>
      </c>
      <c r="K20" s="864">
        <v>0.05</v>
      </c>
      <c r="L20" s="866" t="s">
        <v>760</v>
      </c>
      <c r="M20" s="867" t="s">
        <v>435</v>
      </c>
      <c r="N20" s="864">
        <v>0</v>
      </c>
    </row>
    <row r="21" spans="1:15" s="859" customFormat="1" ht="14.4">
      <c r="A21" s="860">
        <f t="shared" si="0"/>
        <v>20</v>
      </c>
      <c r="B21" s="861" t="s">
        <v>446</v>
      </c>
      <c r="C21" s="860" t="s">
        <v>6</v>
      </c>
      <c r="D21" s="862" t="s">
        <v>32</v>
      </c>
      <c r="E21" s="863">
        <v>100000</v>
      </c>
      <c r="F21" s="864">
        <v>0.02</v>
      </c>
      <c r="G21" s="864">
        <v>0.08</v>
      </c>
      <c r="H21" s="865">
        <v>31</v>
      </c>
      <c r="I21" s="864">
        <v>7.0000000000000007E-2</v>
      </c>
      <c r="J21" s="864">
        <v>0</v>
      </c>
      <c r="K21" s="864">
        <v>0.05</v>
      </c>
      <c r="L21" s="866" t="s">
        <v>760</v>
      </c>
      <c r="M21" s="867" t="s">
        <v>435</v>
      </c>
      <c r="N21" s="864">
        <v>0</v>
      </c>
    </row>
    <row r="22" spans="1:15" s="859" customFormat="1" ht="14.4">
      <c r="A22" s="860">
        <f t="shared" si="0"/>
        <v>21</v>
      </c>
      <c r="B22" s="861" t="s">
        <v>447</v>
      </c>
      <c r="C22" s="860" t="s">
        <v>7</v>
      </c>
      <c r="D22" s="862" t="s">
        <v>29</v>
      </c>
      <c r="E22" s="863">
        <v>100000</v>
      </c>
      <c r="F22" s="864">
        <v>0.01</v>
      </c>
      <c r="G22" s="864">
        <v>0.11</v>
      </c>
      <c r="H22" s="865">
        <v>20</v>
      </c>
      <c r="I22" s="864">
        <v>0.04</v>
      </c>
      <c r="J22" s="864">
        <v>0</v>
      </c>
      <c r="K22" s="864">
        <v>0.05</v>
      </c>
      <c r="L22" s="866" t="s">
        <v>760</v>
      </c>
      <c r="M22" s="867" t="s">
        <v>435</v>
      </c>
      <c r="N22" s="864">
        <v>0</v>
      </c>
    </row>
    <row r="23" spans="1:15" s="859" customFormat="1" ht="14.4">
      <c r="A23" s="860">
        <f t="shared" si="0"/>
        <v>22</v>
      </c>
      <c r="B23" s="861" t="s">
        <v>448</v>
      </c>
      <c r="C23" s="860" t="s">
        <v>6</v>
      </c>
      <c r="D23" s="862" t="s">
        <v>33</v>
      </c>
      <c r="E23" s="863">
        <v>100000</v>
      </c>
      <c r="F23" s="864">
        <v>0.02</v>
      </c>
      <c r="G23" s="864">
        <v>0.08</v>
      </c>
      <c r="H23" s="865">
        <v>36</v>
      </c>
      <c r="I23" s="864">
        <v>7.0000000000000007E-2</v>
      </c>
      <c r="J23" s="864">
        <v>0</v>
      </c>
      <c r="K23" s="864">
        <v>0.05</v>
      </c>
      <c r="L23" s="866" t="s">
        <v>760</v>
      </c>
      <c r="M23" s="867" t="s">
        <v>435</v>
      </c>
      <c r="N23" s="864">
        <v>0</v>
      </c>
    </row>
    <row r="24" spans="1:15" s="859" customFormat="1" ht="15" thickBot="1">
      <c r="A24" s="869">
        <f t="shared" si="0"/>
        <v>23</v>
      </c>
      <c r="B24" s="870" t="s">
        <v>770</v>
      </c>
      <c r="C24" s="869" t="s">
        <v>7</v>
      </c>
      <c r="D24" s="871" t="s">
        <v>771</v>
      </c>
      <c r="E24" s="872">
        <v>100000</v>
      </c>
      <c r="F24" s="873">
        <v>0.05</v>
      </c>
      <c r="G24" s="873">
        <v>0.08</v>
      </c>
      <c r="H24" s="874">
        <v>40</v>
      </c>
      <c r="I24" s="873">
        <v>7.0000000000000007E-2</v>
      </c>
      <c r="J24" s="873">
        <v>0</v>
      </c>
      <c r="K24" s="873">
        <v>0.05</v>
      </c>
      <c r="L24" s="875" t="s">
        <v>760</v>
      </c>
      <c r="M24" s="876" t="s">
        <v>435</v>
      </c>
      <c r="N24" s="873">
        <v>0</v>
      </c>
    </row>
    <row r="25" spans="1:15" s="816" customFormat="1" ht="15.6">
      <c r="A25" s="877"/>
      <c r="B25" s="815"/>
      <c r="C25" s="815"/>
      <c r="D25" s="878"/>
      <c r="E25" s="878"/>
      <c r="F25" s="815"/>
      <c r="G25" s="815"/>
      <c r="H25" s="815"/>
      <c r="I25" s="815"/>
      <c r="J25" s="815"/>
      <c r="K25" s="815"/>
    </row>
    <row r="26" spans="1:15" s="816" customFormat="1" ht="18">
      <c r="B26" s="879" t="s">
        <v>449</v>
      </c>
      <c r="C26" s="879"/>
      <c r="D26" s="880"/>
      <c r="E26" s="880"/>
      <c r="F26" s="881"/>
      <c r="G26" s="881"/>
      <c r="H26" s="881"/>
      <c r="I26" s="881"/>
      <c r="J26" s="881"/>
      <c r="K26" s="882"/>
      <c r="L26" s="882"/>
      <c r="M26" s="882"/>
      <c r="N26" s="882"/>
      <c r="O26" s="883"/>
    </row>
    <row r="27" spans="1:15" s="816" customFormat="1" ht="15.6">
      <c r="B27" s="884" t="s">
        <v>450</v>
      </c>
      <c r="C27" s="884"/>
      <c r="D27" s="884"/>
      <c r="E27" s="884"/>
      <c r="F27" s="884"/>
      <c r="G27" s="884"/>
      <c r="H27" s="884"/>
      <c r="I27" s="884"/>
      <c r="J27" s="884"/>
      <c r="K27" s="884"/>
      <c r="L27" s="884"/>
      <c r="M27" s="884"/>
      <c r="N27" s="884"/>
      <c r="O27" s="884"/>
    </row>
    <row r="28" spans="1:15" s="816" customFormat="1" ht="15.6">
      <c r="B28" s="884" t="s">
        <v>451</v>
      </c>
      <c r="C28" s="884"/>
      <c r="D28" s="884"/>
      <c r="E28" s="884"/>
      <c r="F28" s="884"/>
      <c r="G28" s="884"/>
      <c r="H28" s="884"/>
      <c r="I28" s="884"/>
      <c r="J28" s="884"/>
      <c r="K28" s="884"/>
      <c r="L28" s="884"/>
      <c r="M28" s="884"/>
      <c r="N28" s="884"/>
      <c r="O28" s="884"/>
    </row>
    <row r="29" spans="1:15" s="816" customFormat="1" ht="15.6">
      <c r="B29" s="884" t="s">
        <v>452</v>
      </c>
      <c r="C29" s="884"/>
      <c r="D29" s="884"/>
      <c r="E29" s="884"/>
      <c r="F29" s="884"/>
      <c r="G29" s="884"/>
      <c r="H29" s="884"/>
      <c r="I29" s="884"/>
      <c r="J29" s="884"/>
      <c r="K29" s="884"/>
      <c r="L29" s="884"/>
      <c r="M29" s="884"/>
      <c r="N29" s="884"/>
      <c r="O29" s="884"/>
    </row>
    <row r="30" spans="1:15" s="816" customFormat="1" ht="15.6">
      <c r="B30" s="884" t="s">
        <v>453</v>
      </c>
      <c r="C30" s="884"/>
      <c r="D30" s="884"/>
      <c r="E30" s="884"/>
      <c r="F30" s="884"/>
      <c r="G30" s="884"/>
      <c r="H30" s="884"/>
      <c r="I30" s="884"/>
      <c r="J30" s="884"/>
      <c r="K30" s="884"/>
      <c r="L30" s="884"/>
      <c r="M30" s="884"/>
      <c r="N30" s="884"/>
      <c r="O30" s="884"/>
    </row>
    <row r="31" spans="1:15" s="816" customFormat="1" ht="15.6">
      <c r="B31" s="884" t="s">
        <v>454</v>
      </c>
      <c r="C31" s="884"/>
      <c r="D31" s="884"/>
      <c r="E31" s="884"/>
      <c r="F31" s="884"/>
      <c r="G31" s="884"/>
      <c r="H31" s="884"/>
      <c r="I31" s="884"/>
      <c r="J31" s="884"/>
      <c r="K31" s="884"/>
      <c r="L31" s="884"/>
      <c r="M31" s="884"/>
      <c r="N31" s="884"/>
      <c r="O31" s="884"/>
    </row>
    <row r="32" spans="1:15" s="816" customFormat="1" ht="15.6">
      <c r="B32" s="884" t="s">
        <v>455</v>
      </c>
      <c r="C32" s="884"/>
      <c r="D32" s="884"/>
      <c r="E32" s="884"/>
      <c r="F32" s="884"/>
      <c r="G32" s="884"/>
      <c r="H32" s="884"/>
      <c r="I32" s="884"/>
      <c r="J32" s="884"/>
      <c r="K32" s="884"/>
      <c r="L32" s="884"/>
      <c r="M32" s="884"/>
      <c r="N32" s="884"/>
      <c r="O32" s="884"/>
    </row>
    <row r="33" spans="2:15" s="816" customFormat="1" ht="15.6">
      <c r="B33" s="884" t="s">
        <v>456</v>
      </c>
      <c r="C33" s="884"/>
      <c r="D33" s="884"/>
      <c r="E33" s="884"/>
      <c r="F33" s="884"/>
      <c r="G33" s="884"/>
      <c r="H33" s="884"/>
      <c r="I33" s="884"/>
      <c r="J33" s="884"/>
      <c r="K33" s="884"/>
      <c r="L33" s="884"/>
      <c r="M33" s="884"/>
      <c r="N33" s="884"/>
      <c r="O33" s="884"/>
    </row>
    <row r="34" spans="2:15" s="816" customFormat="1" ht="15.6">
      <c r="B34" s="884" t="s">
        <v>457</v>
      </c>
      <c r="C34" s="884"/>
      <c r="D34" s="884"/>
      <c r="E34" s="884"/>
      <c r="F34" s="884"/>
      <c r="G34" s="884"/>
      <c r="H34" s="884"/>
      <c r="I34" s="884"/>
      <c r="J34" s="884"/>
      <c r="K34" s="884"/>
      <c r="L34" s="884"/>
      <c r="M34" s="884"/>
      <c r="N34" s="884"/>
      <c r="O34" s="884"/>
    </row>
    <row r="35" spans="2:15" s="816" customFormat="1" ht="15.6">
      <c r="B35" s="884" t="s">
        <v>458</v>
      </c>
      <c r="C35" s="884"/>
      <c r="D35" s="884"/>
      <c r="E35" s="884"/>
      <c r="F35" s="884"/>
      <c r="G35" s="884"/>
      <c r="H35" s="884"/>
      <c r="I35" s="884"/>
      <c r="J35" s="884"/>
      <c r="K35" s="884"/>
      <c r="L35" s="884"/>
      <c r="M35" s="884"/>
      <c r="N35" s="884"/>
      <c r="O35" s="884"/>
    </row>
    <row r="36" spans="2:15" s="816" customFormat="1" ht="15.6">
      <c r="B36" s="884" t="s">
        <v>459</v>
      </c>
      <c r="C36" s="884"/>
      <c r="D36" s="884"/>
      <c r="E36" s="884"/>
      <c r="F36" s="884"/>
      <c r="G36" s="884"/>
      <c r="H36" s="884"/>
      <c r="I36" s="884"/>
      <c r="J36" s="884"/>
      <c r="K36" s="884"/>
      <c r="L36" s="884"/>
      <c r="M36" s="884"/>
      <c r="N36" s="884"/>
      <c r="O36" s="884"/>
    </row>
    <row r="37" spans="2:15" s="816" customFormat="1" ht="15.6">
      <c r="B37" s="884" t="s">
        <v>460</v>
      </c>
      <c r="C37" s="884"/>
      <c r="D37" s="884"/>
      <c r="E37" s="884"/>
      <c r="F37" s="884"/>
      <c r="G37" s="884"/>
      <c r="H37" s="884"/>
      <c r="I37" s="884"/>
      <c r="J37" s="884"/>
      <c r="K37" s="884"/>
      <c r="L37" s="884"/>
      <c r="M37" s="884"/>
      <c r="N37" s="884"/>
      <c r="O37" s="884"/>
    </row>
    <row r="38" spans="2:15" s="816" customFormat="1" ht="15.6">
      <c r="B38" s="885" t="s">
        <v>461</v>
      </c>
      <c r="C38" s="885"/>
      <c r="D38" s="885"/>
      <c r="E38" s="885"/>
      <c r="F38" s="885"/>
      <c r="G38" s="885"/>
      <c r="H38" s="885"/>
      <c r="I38" s="885"/>
      <c r="J38" s="885"/>
      <c r="K38" s="885"/>
      <c r="L38" s="885"/>
      <c r="M38" s="885"/>
      <c r="N38" s="885"/>
      <c r="O38" s="885"/>
    </row>
    <row r="39" spans="2:15" s="816" customFormat="1" ht="15.6">
      <c r="B39" s="885" t="s">
        <v>462</v>
      </c>
      <c r="C39" s="885"/>
      <c r="D39" s="885"/>
      <c r="E39" s="885"/>
      <c r="F39" s="885"/>
      <c r="G39" s="885"/>
      <c r="H39" s="885"/>
      <c r="I39" s="885"/>
      <c r="J39" s="885"/>
      <c r="K39" s="885"/>
      <c r="L39" s="885"/>
      <c r="M39" s="885"/>
      <c r="N39" s="885"/>
      <c r="O39" s="885"/>
    </row>
    <row r="40" spans="2:15" s="816" customFormat="1" ht="15.6">
      <c r="B40" s="885" t="s">
        <v>463</v>
      </c>
      <c r="C40" s="885"/>
      <c r="D40" s="885"/>
      <c r="E40" s="885"/>
      <c r="F40" s="885"/>
      <c r="G40" s="885"/>
      <c r="H40" s="885"/>
      <c r="I40" s="885"/>
      <c r="J40" s="885"/>
      <c r="K40" s="885"/>
      <c r="L40" s="885"/>
      <c r="M40" s="885"/>
      <c r="N40" s="885"/>
      <c r="O40" s="885"/>
    </row>
    <row r="41" spans="2:15" s="816" customFormat="1" ht="15.6">
      <c r="B41" s="885" t="s">
        <v>464</v>
      </c>
      <c r="C41" s="885"/>
      <c r="D41" s="885"/>
      <c r="E41" s="885"/>
      <c r="F41" s="885"/>
      <c r="G41" s="885"/>
      <c r="H41" s="885"/>
      <c r="I41" s="885"/>
      <c r="J41" s="885"/>
      <c r="K41" s="885"/>
      <c r="L41" s="885"/>
      <c r="M41" s="885"/>
      <c r="N41" s="885"/>
      <c r="O41" s="885"/>
    </row>
    <row r="42" spans="2:15" s="816" customFormat="1" ht="15.6"/>
    <row r="43" spans="2:15" s="816" customFormat="1" ht="15.6">
      <c r="C43" s="822"/>
      <c r="D43" s="886" t="s">
        <v>421</v>
      </c>
      <c r="E43" s="886"/>
      <c r="F43" s="886"/>
    </row>
    <row r="44" spans="2:15" s="816" customFormat="1" ht="15.6">
      <c r="C44" s="887"/>
      <c r="D44" s="886" t="s">
        <v>772</v>
      </c>
      <c r="E44" s="886"/>
      <c r="F44" s="886"/>
    </row>
    <row r="45" spans="2:15" s="816" customFormat="1" ht="15.6">
      <c r="C45" s="888"/>
      <c r="D45" s="886" t="s">
        <v>465</v>
      </c>
      <c r="E45" s="886"/>
      <c r="F45" s="886"/>
    </row>
    <row r="48" spans="2:15" ht="13.8" thickBot="1"/>
    <row r="49" spans="1:7" ht="13.8" thickBot="1">
      <c r="A49" s="811" t="s">
        <v>79</v>
      </c>
      <c r="B49" s="811" t="s">
        <v>367</v>
      </c>
      <c r="C49" s="811" t="s">
        <v>466</v>
      </c>
      <c r="D49" s="811" t="s">
        <v>467</v>
      </c>
      <c r="E49" s="811" t="s">
        <v>468</v>
      </c>
      <c r="F49" s="811" t="s">
        <v>469</v>
      </c>
      <c r="G49" s="811" t="s">
        <v>470</v>
      </c>
    </row>
    <row r="50" spans="1:7">
      <c r="A50" s="889" t="s">
        <v>420</v>
      </c>
      <c r="B50" s="890" t="s">
        <v>6</v>
      </c>
      <c r="C50" s="891"/>
      <c r="D50" s="892"/>
      <c r="E50" s="892"/>
      <c r="F50" s="893"/>
      <c r="G50" s="892"/>
    </row>
    <row r="51" spans="1:7">
      <c r="A51" s="894" t="s">
        <v>423</v>
      </c>
      <c r="B51" s="895" t="s">
        <v>10</v>
      </c>
      <c r="C51" s="896"/>
      <c r="D51" s="897"/>
      <c r="E51" s="897"/>
      <c r="F51" s="898"/>
      <c r="G51" s="897"/>
    </row>
    <row r="52" spans="1:7">
      <c r="A52" s="894" t="s">
        <v>424</v>
      </c>
      <c r="B52" s="895" t="s">
        <v>6</v>
      </c>
      <c r="C52" s="899"/>
      <c r="D52" s="897"/>
      <c r="E52" s="897"/>
      <c r="F52" s="898"/>
      <c r="G52" s="897"/>
    </row>
    <row r="53" spans="1:7">
      <c r="A53" s="894" t="s">
        <v>425</v>
      </c>
      <c r="B53" s="895" t="s">
        <v>6</v>
      </c>
      <c r="C53" s="896">
        <v>22</v>
      </c>
      <c r="D53" s="897">
        <v>95</v>
      </c>
      <c r="E53" s="897">
        <v>78</v>
      </c>
      <c r="F53" s="898">
        <v>3</v>
      </c>
      <c r="G53" s="897" t="s">
        <v>471</v>
      </c>
    </row>
    <row r="54" spans="1:7">
      <c r="A54" s="894" t="s">
        <v>426</v>
      </c>
      <c r="B54" s="895" t="s">
        <v>24</v>
      </c>
      <c r="C54" s="896"/>
      <c r="D54" s="897"/>
      <c r="E54" s="897"/>
      <c r="F54" s="898"/>
      <c r="G54" s="897"/>
    </row>
    <row r="55" spans="1:7">
      <c r="A55" s="894" t="s">
        <v>427</v>
      </c>
      <c r="B55" s="895" t="s">
        <v>10</v>
      </c>
      <c r="C55" s="896">
        <v>10</v>
      </c>
      <c r="D55" s="897">
        <v>78</v>
      </c>
      <c r="E55" s="897">
        <v>65</v>
      </c>
      <c r="F55" s="898">
        <v>2</v>
      </c>
      <c r="G55" s="897" t="s">
        <v>472</v>
      </c>
    </row>
    <row r="56" spans="1:7">
      <c r="A56" s="894" t="s">
        <v>428</v>
      </c>
      <c r="B56" s="895" t="s">
        <v>7</v>
      </c>
      <c r="C56" s="896"/>
      <c r="D56" s="897"/>
      <c r="E56" s="897"/>
      <c r="F56" s="898"/>
      <c r="G56" s="897"/>
    </row>
    <row r="57" spans="1:7">
      <c r="A57" s="894" t="s">
        <v>429</v>
      </c>
      <c r="B57" s="895" t="s">
        <v>7</v>
      </c>
      <c r="C57" s="896">
        <v>22</v>
      </c>
      <c r="D57" s="897">
        <v>194</v>
      </c>
      <c r="E57" s="897">
        <v>179</v>
      </c>
      <c r="F57" s="898">
        <v>4</v>
      </c>
      <c r="G57" s="897" t="s">
        <v>473</v>
      </c>
    </row>
    <row r="58" spans="1:7">
      <c r="A58" s="900" t="s">
        <v>430</v>
      </c>
      <c r="B58" s="901" t="s">
        <v>6</v>
      </c>
      <c r="C58" s="896">
        <v>19</v>
      </c>
      <c r="D58" s="897">
        <v>93</v>
      </c>
      <c r="E58" s="897">
        <v>115</v>
      </c>
      <c r="F58" s="898">
        <v>3</v>
      </c>
      <c r="G58" s="897" t="s">
        <v>474</v>
      </c>
    </row>
    <row r="59" spans="1:7" ht="13.8" thickBot="1">
      <c r="A59" s="900" t="s">
        <v>431</v>
      </c>
      <c r="B59" s="901" t="s">
        <v>30</v>
      </c>
      <c r="C59" s="896"/>
      <c r="D59" s="902"/>
      <c r="E59" s="902"/>
      <c r="F59" s="903"/>
      <c r="G59" s="902"/>
    </row>
    <row r="60" spans="1:7">
      <c r="A60" s="904" t="s">
        <v>434</v>
      </c>
      <c r="B60" s="890" t="s">
        <v>2</v>
      </c>
      <c r="C60" s="905">
        <v>16</v>
      </c>
      <c r="D60" s="906">
        <v>146</v>
      </c>
      <c r="E60" s="907">
        <v>144</v>
      </c>
      <c r="F60" s="908">
        <v>2</v>
      </c>
      <c r="G60" s="892" t="s">
        <v>472</v>
      </c>
    </row>
    <row r="61" spans="1:7">
      <c r="A61" s="909" t="s">
        <v>436</v>
      </c>
      <c r="B61" s="910" t="s">
        <v>7</v>
      </c>
      <c r="C61" s="911">
        <v>22</v>
      </c>
      <c r="D61" s="912">
        <v>165</v>
      </c>
      <c r="E61" s="913">
        <v>76</v>
      </c>
      <c r="F61" s="914">
        <v>6</v>
      </c>
      <c r="G61" s="897" t="s">
        <v>474</v>
      </c>
    </row>
    <row r="62" spans="1:7">
      <c r="A62" s="915" t="s">
        <v>437</v>
      </c>
      <c r="B62" s="916" t="s">
        <v>6</v>
      </c>
      <c r="C62" s="911"/>
      <c r="D62" s="912"/>
      <c r="E62" s="913"/>
      <c r="F62" s="914"/>
      <c r="G62" s="897"/>
    </row>
    <row r="63" spans="1:7">
      <c r="A63" s="917" t="s">
        <v>438</v>
      </c>
      <c r="B63" s="895" t="s">
        <v>6</v>
      </c>
      <c r="C63" s="911">
        <v>24</v>
      </c>
      <c r="D63" s="912">
        <v>39</v>
      </c>
      <c r="E63" s="913">
        <v>18</v>
      </c>
      <c r="F63" s="914">
        <v>3</v>
      </c>
      <c r="G63" s="897" t="s">
        <v>472</v>
      </c>
    </row>
    <row r="64" spans="1:7">
      <c r="A64" s="917" t="s">
        <v>439</v>
      </c>
      <c r="B64" s="895" t="s">
        <v>6</v>
      </c>
      <c r="C64" s="918"/>
      <c r="D64" s="919"/>
      <c r="E64" s="920"/>
      <c r="F64" s="921"/>
      <c r="G64" s="902"/>
    </row>
    <row r="65" spans="1:7">
      <c r="A65" s="917" t="s">
        <v>440</v>
      </c>
      <c r="B65" s="895" t="s">
        <v>7</v>
      </c>
      <c r="C65" s="918"/>
      <c r="D65" s="919"/>
      <c r="E65" s="920"/>
      <c r="F65" s="921"/>
      <c r="G65" s="902"/>
    </row>
    <row r="66" spans="1:7" ht="13.8" thickBot="1">
      <c r="A66" s="922" t="s">
        <v>441</v>
      </c>
      <c r="B66" s="923" t="s">
        <v>5</v>
      </c>
      <c r="C66" s="924"/>
      <c r="D66" s="925"/>
      <c r="E66" s="926"/>
      <c r="F66" s="927"/>
      <c r="G66" s="928"/>
    </row>
    <row r="273" customFormat="1"/>
    <row r="274" customFormat="1"/>
    <row r="275" customFormat="1"/>
    <row r="276" customFormat="1"/>
    <row r="277" customFormat="1"/>
    <row r="278" customFormat="1"/>
    <row r="279" customFormat="1"/>
    <row r="280" customFormat="1"/>
    <row r="281" customFormat="1"/>
    <row r="282" customFormat="1"/>
    <row r="283" customFormat="1"/>
    <row r="284" customFormat="1"/>
    <row r="285" customFormat="1"/>
    <row r="286" customFormat="1"/>
    <row r="287" customFormat="1"/>
    <row r="288" customFormat="1"/>
    <row r="289" customFormat="1"/>
    <row r="290" customFormat="1"/>
    <row r="291" customFormat="1"/>
    <row r="292" customFormat="1"/>
    <row r="293" customFormat="1"/>
    <row r="294" customFormat="1"/>
    <row r="295" customFormat="1"/>
    <row r="296" customFormat="1"/>
    <row r="297" customFormat="1"/>
    <row r="298" customFormat="1"/>
    <row r="299" customFormat="1"/>
    <row r="300" customFormat="1"/>
    <row r="301" customFormat="1"/>
    <row r="302" customFormat="1"/>
    <row r="303" customFormat="1"/>
    <row r="304" customFormat="1"/>
    <row r="305" customFormat="1"/>
    <row r="306" customFormat="1"/>
    <row r="307" customFormat="1"/>
    <row r="308" customFormat="1"/>
    <row r="309" customFormat="1"/>
    <row r="310" customFormat="1"/>
    <row r="311" customFormat="1"/>
    <row r="312" customFormat="1"/>
    <row r="313" customFormat="1"/>
    <row r="314" customFormat="1"/>
    <row r="315" customFormat="1"/>
    <row r="316" customFormat="1"/>
    <row r="317" customFormat="1"/>
    <row r="318" customFormat="1"/>
    <row r="319" customFormat="1"/>
    <row r="320" customFormat="1"/>
    <row r="321" customFormat="1"/>
    <row r="322" customFormat="1"/>
    <row r="323" customFormat="1"/>
    <row r="324" customFormat="1"/>
    <row r="325" customFormat="1"/>
    <row r="326" customFormat="1"/>
    <row r="327" customFormat="1"/>
    <row r="328" customFormat="1"/>
    <row r="329" customFormat="1"/>
    <row r="330" customFormat="1"/>
    <row r="331" customFormat="1"/>
    <row r="332" customFormat="1"/>
    <row r="333" customFormat="1"/>
    <row r="334" customFormat="1"/>
    <row r="335" customFormat="1"/>
    <row r="336" customFormat="1"/>
    <row r="337" customFormat="1"/>
    <row r="338" customFormat="1"/>
    <row r="339" customFormat="1"/>
    <row r="340" customFormat="1"/>
    <row r="341" customFormat="1"/>
    <row r="342" customFormat="1"/>
    <row r="343" customFormat="1"/>
    <row r="344" customFormat="1"/>
    <row r="345" customFormat="1"/>
    <row r="346" customFormat="1"/>
    <row r="347" customFormat="1"/>
    <row r="348" customFormat="1"/>
    <row r="349" customFormat="1"/>
    <row r="350" customFormat="1"/>
    <row r="351" customFormat="1"/>
    <row r="352" customFormat="1"/>
    <row r="353" customFormat="1"/>
    <row r="354" customFormat="1"/>
    <row r="355" customFormat="1"/>
    <row r="356" customFormat="1"/>
    <row r="357" customFormat="1"/>
    <row r="358" customFormat="1"/>
    <row r="359" customFormat="1"/>
    <row r="360" customFormat="1"/>
    <row r="361" customFormat="1"/>
    <row r="362" customFormat="1"/>
    <row r="363" customFormat="1"/>
    <row r="364" customFormat="1"/>
    <row r="365" customFormat="1"/>
    <row r="366" customFormat="1"/>
    <row r="367" customFormat="1"/>
    <row r="368" customFormat="1"/>
    <row r="369" customFormat="1"/>
    <row r="370" customFormat="1"/>
    <row r="371" customFormat="1"/>
    <row r="372" customFormat="1"/>
    <row r="373" customFormat="1"/>
    <row r="374" customFormat="1"/>
    <row r="375" customFormat="1"/>
    <row r="376" customFormat="1"/>
    <row r="377" customFormat="1"/>
    <row r="378" customFormat="1"/>
    <row r="379" customFormat="1"/>
    <row r="380" customFormat="1"/>
    <row r="381" customFormat="1"/>
    <row r="382" customFormat="1"/>
    <row r="383" customFormat="1"/>
    <row r="384" customFormat="1"/>
    <row r="385" customFormat="1"/>
    <row r="386" customFormat="1"/>
    <row r="387" customFormat="1"/>
    <row r="388" customFormat="1"/>
    <row r="389" customFormat="1"/>
    <row r="390" customFormat="1"/>
    <row r="391" customFormat="1"/>
    <row r="392" customFormat="1"/>
    <row r="393" customFormat="1"/>
    <row r="394" customFormat="1"/>
    <row r="395" customFormat="1"/>
    <row r="396" customFormat="1"/>
    <row r="397" customFormat="1"/>
    <row r="398" customFormat="1"/>
    <row r="399" customFormat="1"/>
    <row r="400" customFormat="1"/>
    <row r="401" customFormat="1"/>
    <row r="402" customFormat="1"/>
    <row r="403" customFormat="1"/>
    <row r="404" customFormat="1"/>
    <row r="405" customFormat="1"/>
    <row r="406" customFormat="1"/>
    <row r="407" customFormat="1"/>
    <row r="408" customFormat="1"/>
    <row r="409" customFormat="1"/>
    <row r="410" customFormat="1"/>
    <row r="411" customFormat="1"/>
    <row r="412" customFormat="1"/>
    <row r="413" customFormat="1"/>
    <row r="414" customFormat="1"/>
    <row r="415" customFormat="1"/>
    <row r="416" customFormat="1"/>
    <row r="417" customFormat="1"/>
    <row r="418" customFormat="1"/>
    <row r="419" customFormat="1"/>
    <row r="420" customFormat="1"/>
    <row r="421" customFormat="1"/>
    <row r="422" customFormat="1"/>
    <row r="423" customFormat="1"/>
    <row r="424" customFormat="1"/>
    <row r="425" customFormat="1"/>
    <row r="426" customFormat="1"/>
    <row r="427" customFormat="1"/>
    <row r="428" customFormat="1"/>
    <row r="429" customFormat="1"/>
    <row r="430" customFormat="1"/>
    <row r="431" customFormat="1"/>
    <row r="432" customFormat="1"/>
    <row r="433" customFormat="1"/>
    <row r="434" customFormat="1"/>
    <row r="435" customFormat="1"/>
    <row r="436" customFormat="1"/>
    <row r="437" customFormat="1"/>
    <row r="438" customFormat="1"/>
    <row r="439" customFormat="1"/>
    <row r="440" customFormat="1"/>
    <row r="441" customFormat="1"/>
    <row r="442" customFormat="1"/>
    <row r="443" customFormat="1"/>
    <row r="444" customFormat="1"/>
    <row r="445" customFormat="1"/>
    <row r="446" customFormat="1"/>
    <row r="447" customFormat="1"/>
    <row r="448" customFormat="1"/>
    <row r="449" customFormat="1"/>
    <row r="450" customFormat="1"/>
    <row r="451" customFormat="1"/>
    <row r="452" customFormat="1"/>
    <row r="453" customFormat="1"/>
    <row r="454" customFormat="1"/>
    <row r="455" customFormat="1"/>
    <row r="456" customFormat="1"/>
    <row r="457" customFormat="1"/>
    <row r="458" customFormat="1"/>
    <row r="459" customFormat="1"/>
    <row r="460" customFormat="1"/>
    <row r="461" customFormat="1"/>
    <row r="462" customFormat="1"/>
    <row r="463" customFormat="1"/>
    <row r="464" customFormat="1"/>
    <row r="465" customFormat="1"/>
    <row r="466" customFormat="1"/>
    <row r="467" customFormat="1"/>
    <row r="468" customFormat="1"/>
    <row r="469" customFormat="1"/>
    <row r="470" customFormat="1"/>
    <row r="471" customFormat="1"/>
    <row r="472" customFormat="1"/>
    <row r="473" customFormat="1"/>
    <row r="474" customFormat="1"/>
    <row r="475" customFormat="1"/>
    <row r="476" customFormat="1"/>
    <row r="477" customFormat="1"/>
    <row r="478" customFormat="1"/>
    <row r="479" customFormat="1"/>
    <row r="480" customFormat="1"/>
    <row r="481" customFormat="1"/>
    <row r="482" customFormat="1"/>
    <row r="483" customFormat="1"/>
    <row r="484" customFormat="1"/>
    <row r="485" customFormat="1"/>
    <row r="486" customFormat="1"/>
    <row r="487" customFormat="1"/>
    <row r="488" customFormat="1"/>
    <row r="489" customFormat="1"/>
    <row r="490" customFormat="1"/>
    <row r="491" customFormat="1"/>
    <row r="492" customFormat="1"/>
    <row r="493" customFormat="1"/>
    <row r="494" customFormat="1"/>
    <row r="495" customFormat="1"/>
    <row r="496" customFormat="1"/>
    <row r="497" customFormat="1"/>
    <row r="498" customFormat="1"/>
    <row r="499" customFormat="1"/>
    <row r="500" customFormat="1"/>
    <row r="501" customFormat="1"/>
    <row r="502" customFormat="1"/>
    <row r="503" customFormat="1"/>
    <row r="504" customFormat="1"/>
    <row r="505" customFormat="1"/>
    <row r="506" customFormat="1"/>
    <row r="507" customFormat="1"/>
    <row r="508" customFormat="1"/>
    <row r="509" customFormat="1"/>
    <row r="510" customFormat="1"/>
    <row r="511" customFormat="1"/>
    <row r="512" customFormat="1"/>
    <row r="513" customFormat="1"/>
    <row r="514" customFormat="1"/>
    <row r="515" customFormat="1"/>
    <row r="516" customFormat="1"/>
    <row r="517" customFormat="1"/>
    <row r="518" customFormat="1"/>
    <row r="519" customFormat="1"/>
    <row r="520" customFormat="1"/>
    <row r="521" customFormat="1"/>
    <row r="522" customFormat="1"/>
    <row r="523" customFormat="1"/>
    <row r="524" customFormat="1"/>
    <row r="525" customFormat="1"/>
    <row r="526" customFormat="1"/>
    <row r="527" customFormat="1"/>
    <row r="528" customFormat="1"/>
    <row r="529" customFormat="1"/>
    <row r="530" customFormat="1"/>
    <row r="531" customFormat="1"/>
    <row r="532" customFormat="1"/>
    <row r="533" customFormat="1"/>
    <row r="534" customFormat="1"/>
    <row r="535" customFormat="1"/>
    <row r="536" customFormat="1"/>
    <row r="537" customFormat="1"/>
    <row r="538" customFormat="1"/>
    <row r="539" customFormat="1"/>
    <row r="540" customFormat="1"/>
    <row r="541" customFormat="1"/>
    <row r="542" customFormat="1"/>
    <row r="543" customFormat="1"/>
    <row r="544" customFormat="1"/>
    <row r="545" customFormat="1"/>
    <row r="546" customFormat="1"/>
    <row r="547" customFormat="1"/>
    <row r="548" customFormat="1"/>
    <row r="549" customFormat="1"/>
    <row r="550" customFormat="1"/>
    <row r="551" customFormat="1"/>
    <row r="552" customFormat="1"/>
    <row r="553" customFormat="1"/>
    <row r="554" customFormat="1"/>
    <row r="555" customFormat="1"/>
    <row r="556" customFormat="1"/>
    <row r="557" customFormat="1"/>
    <row r="558" customFormat="1"/>
    <row r="559" customFormat="1"/>
    <row r="560" customFormat="1"/>
    <row r="561" customFormat="1"/>
    <row r="562" customFormat="1"/>
    <row r="563" customFormat="1"/>
    <row r="564" customFormat="1"/>
    <row r="565" customFormat="1"/>
    <row r="566" customFormat="1"/>
    <row r="567" customFormat="1"/>
    <row r="568" customFormat="1"/>
    <row r="569" customFormat="1"/>
    <row r="570" customFormat="1"/>
    <row r="571" customFormat="1"/>
    <row r="572" customFormat="1"/>
    <row r="573" customFormat="1"/>
    <row r="574" customFormat="1"/>
    <row r="575" customFormat="1"/>
    <row r="576" customFormat="1"/>
    <row r="577" customFormat="1"/>
    <row r="578" customFormat="1"/>
    <row r="579" customFormat="1"/>
    <row r="580" customFormat="1"/>
    <row r="581" customFormat="1"/>
    <row r="582" customFormat="1"/>
    <row r="583" customFormat="1"/>
    <row r="584" customFormat="1"/>
    <row r="585" customFormat="1"/>
    <row r="586" customFormat="1"/>
    <row r="587" customFormat="1"/>
    <row r="588" customFormat="1"/>
    <row r="589" customFormat="1"/>
    <row r="590" customFormat="1"/>
    <row r="591" customFormat="1"/>
    <row r="592" customFormat="1"/>
    <row r="593" customFormat="1"/>
    <row r="594" customFormat="1"/>
    <row r="595" customFormat="1"/>
    <row r="596" customFormat="1"/>
    <row r="597" customFormat="1"/>
    <row r="598" customFormat="1"/>
    <row r="599" customFormat="1"/>
    <row r="600" customFormat="1"/>
    <row r="601" customFormat="1"/>
    <row r="602" customFormat="1"/>
    <row r="603" customFormat="1"/>
    <row r="604" customFormat="1"/>
    <row r="605" customFormat="1"/>
    <row r="606" customFormat="1"/>
    <row r="607" customFormat="1"/>
    <row r="608" customFormat="1"/>
    <row r="609" customFormat="1"/>
    <row r="610" customFormat="1"/>
    <row r="611" customFormat="1"/>
    <row r="612" customFormat="1"/>
    <row r="613" customFormat="1"/>
    <row r="614" customFormat="1"/>
    <row r="615" customFormat="1"/>
    <row r="616" customFormat="1"/>
    <row r="617" customFormat="1"/>
    <row r="618" customFormat="1"/>
    <row r="619" customFormat="1"/>
    <row r="620" customFormat="1"/>
    <row r="621" customFormat="1"/>
    <row r="622" customFormat="1"/>
    <row r="623" customFormat="1"/>
    <row r="624" customFormat="1"/>
    <row r="625" customFormat="1"/>
    <row r="626" customFormat="1"/>
    <row r="627" customFormat="1"/>
    <row r="628" customFormat="1"/>
    <row r="629" customFormat="1"/>
    <row r="630" customFormat="1"/>
    <row r="631" customFormat="1"/>
    <row r="632" customFormat="1"/>
    <row r="633" customFormat="1"/>
    <row r="634" customFormat="1"/>
    <row r="635" customFormat="1"/>
    <row r="636" customFormat="1"/>
    <row r="637" customFormat="1"/>
    <row r="638" customFormat="1"/>
    <row r="639" customFormat="1"/>
    <row r="640" customFormat="1"/>
    <row r="641" customFormat="1"/>
    <row r="642" customFormat="1"/>
    <row r="643" customFormat="1"/>
    <row r="644" customFormat="1"/>
    <row r="645" customFormat="1"/>
    <row r="646" customFormat="1"/>
    <row r="647" customFormat="1"/>
    <row r="648" customFormat="1"/>
    <row r="649" customFormat="1"/>
    <row r="650" customFormat="1"/>
    <row r="651" customFormat="1"/>
    <row r="652" customFormat="1"/>
    <row r="653" customFormat="1"/>
    <row r="654" customFormat="1"/>
    <row r="655" customFormat="1"/>
    <row r="656" customFormat="1"/>
    <row r="657" customFormat="1"/>
    <row r="658" customFormat="1"/>
    <row r="659" customFormat="1"/>
    <row r="660" customFormat="1"/>
    <row r="661" customFormat="1"/>
    <row r="662" customFormat="1"/>
    <row r="663" customFormat="1"/>
    <row r="664" customFormat="1"/>
    <row r="665" customFormat="1"/>
    <row r="666" customFormat="1"/>
    <row r="667" customFormat="1"/>
    <row r="668" customFormat="1"/>
    <row r="669" customFormat="1"/>
    <row r="670" customFormat="1"/>
    <row r="671" customFormat="1"/>
    <row r="672" customFormat="1"/>
    <row r="673" customFormat="1"/>
    <row r="674" customFormat="1"/>
    <row r="675" customFormat="1"/>
    <row r="676" customFormat="1"/>
    <row r="677" customFormat="1"/>
    <row r="678" customFormat="1"/>
    <row r="679" customFormat="1"/>
    <row r="680" customFormat="1"/>
    <row r="681" customFormat="1"/>
    <row r="682" customFormat="1"/>
    <row r="683" customFormat="1"/>
    <row r="684" customFormat="1"/>
    <row r="685" customFormat="1"/>
    <row r="686" customFormat="1"/>
    <row r="687" customFormat="1"/>
    <row r="688" customFormat="1"/>
    <row r="689" customFormat="1"/>
    <row r="690" customFormat="1"/>
    <row r="691" customFormat="1"/>
    <row r="692" customFormat="1"/>
    <row r="693" customFormat="1"/>
    <row r="694" customFormat="1"/>
    <row r="695" customFormat="1"/>
    <row r="696" customFormat="1"/>
    <row r="697" customFormat="1"/>
    <row r="698" customFormat="1"/>
    <row r="699" customFormat="1"/>
    <row r="700" customFormat="1"/>
    <row r="701" customFormat="1"/>
    <row r="702" customFormat="1"/>
    <row r="703" customFormat="1"/>
    <row r="704" customFormat="1"/>
    <row r="705" customFormat="1"/>
    <row r="706" customFormat="1"/>
    <row r="707" customFormat="1"/>
    <row r="708" customFormat="1"/>
    <row r="709" customFormat="1"/>
    <row r="710" customFormat="1"/>
    <row r="711" customFormat="1"/>
    <row r="712" customFormat="1"/>
    <row r="713" customFormat="1"/>
    <row r="714" customFormat="1"/>
    <row r="715" customFormat="1"/>
    <row r="716" customFormat="1"/>
    <row r="717" customFormat="1"/>
    <row r="718" customFormat="1"/>
    <row r="719" customFormat="1"/>
    <row r="720" customFormat="1"/>
    <row r="721" customFormat="1"/>
    <row r="722" customFormat="1"/>
    <row r="723" customFormat="1"/>
    <row r="724" customFormat="1"/>
    <row r="725" customFormat="1"/>
    <row r="726" customFormat="1"/>
    <row r="727" customFormat="1"/>
    <row r="728" customFormat="1"/>
    <row r="729" customFormat="1"/>
    <row r="730" customFormat="1"/>
    <row r="731" customFormat="1"/>
    <row r="732" customFormat="1"/>
    <row r="733" customFormat="1"/>
    <row r="734" customFormat="1"/>
    <row r="735" customFormat="1"/>
    <row r="736" customFormat="1"/>
    <row r="737" customFormat="1"/>
    <row r="738" customFormat="1"/>
    <row r="739" customFormat="1"/>
    <row r="740" customFormat="1"/>
    <row r="741" customFormat="1"/>
    <row r="742" customFormat="1"/>
    <row r="743" customFormat="1"/>
    <row r="744" customFormat="1"/>
    <row r="745" customFormat="1"/>
    <row r="746" customFormat="1"/>
    <row r="747" customFormat="1"/>
    <row r="748" customFormat="1"/>
    <row r="749" customFormat="1"/>
    <row r="750" customFormat="1"/>
    <row r="751" customFormat="1"/>
    <row r="752" customFormat="1"/>
    <row r="753" customFormat="1"/>
    <row r="754" customFormat="1"/>
    <row r="755" customFormat="1"/>
    <row r="756" customFormat="1"/>
    <row r="757" customFormat="1"/>
    <row r="758" customFormat="1"/>
    <row r="759" customFormat="1"/>
    <row r="760" customFormat="1"/>
    <row r="761" customFormat="1"/>
    <row r="762" customFormat="1"/>
    <row r="763" customFormat="1"/>
    <row r="764" customFormat="1"/>
    <row r="765" customFormat="1"/>
    <row r="766" customFormat="1"/>
    <row r="767" customFormat="1"/>
    <row r="768" customFormat="1"/>
    <row r="769" customFormat="1"/>
    <row r="770" customFormat="1"/>
    <row r="771" customFormat="1"/>
    <row r="772" customFormat="1"/>
    <row r="773" customFormat="1"/>
    <row r="774" customFormat="1"/>
    <row r="775" customFormat="1"/>
    <row r="776" customFormat="1"/>
    <row r="777" customFormat="1"/>
    <row r="778" customFormat="1"/>
    <row r="779" customFormat="1"/>
    <row r="780" customFormat="1"/>
    <row r="781" customFormat="1"/>
    <row r="782" customFormat="1"/>
    <row r="783" customFormat="1"/>
    <row r="784" customFormat="1"/>
    <row r="785" customFormat="1"/>
    <row r="786" customFormat="1"/>
    <row r="787" customFormat="1"/>
    <row r="788" customFormat="1"/>
    <row r="789" customFormat="1"/>
    <row r="790" customFormat="1"/>
    <row r="791" customFormat="1"/>
    <row r="792" customFormat="1"/>
    <row r="793" customFormat="1"/>
    <row r="794" customFormat="1"/>
    <row r="795" customFormat="1"/>
    <row r="796" customFormat="1"/>
    <row r="797" customFormat="1"/>
    <row r="798" customFormat="1"/>
    <row r="799" customFormat="1"/>
    <row r="800" customFormat="1"/>
    <row r="801" customFormat="1"/>
    <row r="802" customFormat="1"/>
    <row r="803" customFormat="1"/>
    <row r="804" customFormat="1"/>
    <row r="805" customFormat="1"/>
    <row r="806" customFormat="1"/>
    <row r="807" customFormat="1"/>
    <row r="808" customFormat="1"/>
    <row r="809" customFormat="1"/>
    <row r="810" customFormat="1"/>
    <row r="811" customFormat="1"/>
    <row r="812" customFormat="1"/>
    <row r="813" customFormat="1"/>
    <row r="814" customFormat="1"/>
    <row r="815" customFormat="1"/>
    <row r="816" customFormat="1"/>
    <row r="817" customFormat="1"/>
    <row r="818" customFormat="1"/>
    <row r="819" customFormat="1"/>
    <row r="820" customFormat="1"/>
    <row r="821" customFormat="1"/>
    <row r="822" customFormat="1"/>
    <row r="823" customFormat="1"/>
    <row r="824" customFormat="1"/>
    <row r="825" customFormat="1"/>
    <row r="826" customFormat="1"/>
    <row r="827" customFormat="1"/>
    <row r="828" customFormat="1"/>
    <row r="829" customFormat="1"/>
    <row r="830" customFormat="1"/>
    <row r="831" customFormat="1"/>
    <row r="832" customFormat="1"/>
    <row r="833" customFormat="1"/>
    <row r="834" customFormat="1"/>
    <row r="835" customFormat="1"/>
    <row r="836" customFormat="1"/>
    <row r="837" customFormat="1"/>
    <row r="838" customFormat="1"/>
    <row r="839" customFormat="1"/>
    <row r="840" customFormat="1"/>
    <row r="841" customFormat="1"/>
    <row r="842" customFormat="1"/>
    <row r="843" customFormat="1"/>
    <row r="844" customFormat="1"/>
    <row r="845" customFormat="1"/>
    <row r="846" customFormat="1"/>
    <row r="847" customFormat="1"/>
    <row r="848" customFormat="1"/>
    <row r="849" customFormat="1"/>
    <row r="850" customFormat="1"/>
    <row r="851" customFormat="1"/>
    <row r="852" customFormat="1"/>
    <row r="853" customFormat="1"/>
    <row r="854" customFormat="1"/>
    <row r="855" customFormat="1"/>
    <row r="856" customFormat="1"/>
    <row r="857" customFormat="1"/>
    <row r="858" customFormat="1"/>
    <row r="859" customFormat="1"/>
    <row r="860" customFormat="1"/>
    <row r="861" customFormat="1"/>
    <row r="862" customFormat="1"/>
    <row r="863" customFormat="1"/>
    <row r="864" customFormat="1"/>
    <row r="865" customFormat="1"/>
    <row r="866" customFormat="1"/>
    <row r="867" customFormat="1"/>
    <row r="868" customFormat="1"/>
    <row r="869" customFormat="1"/>
    <row r="870" customFormat="1"/>
    <row r="871" customFormat="1"/>
    <row r="872" customFormat="1"/>
    <row r="873" customFormat="1"/>
    <row r="874" customFormat="1"/>
    <row r="875" customFormat="1"/>
    <row r="876" customFormat="1"/>
    <row r="877" customFormat="1"/>
    <row r="878" customFormat="1"/>
    <row r="879" customFormat="1"/>
    <row r="880" customFormat="1"/>
    <row r="881" customFormat="1"/>
    <row r="882" customFormat="1"/>
    <row r="883" customFormat="1"/>
    <row r="884" customFormat="1"/>
    <row r="885" customFormat="1"/>
    <row r="886" customFormat="1"/>
    <row r="887" customFormat="1"/>
    <row r="888" customFormat="1"/>
    <row r="889" customFormat="1"/>
    <row r="890" customFormat="1"/>
    <row r="891" customFormat="1"/>
    <row r="892" customFormat="1"/>
    <row r="893" customFormat="1"/>
    <row r="894" customFormat="1"/>
    <row r="895" customFormat="1"/>
    <row r="896" customFormat="1"/>
    <row r="897" customFormat="1"/>
    <row r="898" customFormat="1"/>
    <row r="899" customFormat="1"/>
    <row r="900" customFormat="1"/>
    <row r="901" customFormat="1"/>
    <row r="902" customFormat="1"/>
    <row r="903" customFormat="1"/>
    <row r="904" customFormat="1"/>
    <row r="905" customFormat="1"/>
    <row r="906" customFormat="1"/>
    <row r="907" customFormat="1"/>
    <row r="908" customFormat="1"/>
    <row r="909" customFormat="1"/>
    <row r="910" customFormat="1"/>
    <row r="911" customFormat="1"/>
    <row r="912" customFormat="1"/>
    <row r="913" customFormat="1"/>
    <row r="914" customFormat="1"/>
    <row r="915" customFormat="1"/>
    <row r="916" customFormat="1"/>
    <row r="917" customFormat="1"/>
    <row r="918" customFormat="1"/>
    <row r="919" customFormat="1"/>
    <row r="920" customFormat="1"/>
    <row r="921" customFormat="1"/>
    <row r="922" customFormat="1"/>
    <row r="923" customFormat="1"/>
    <row r="924" customFormat="1"/>
    <row r="925" customFormat="1"/>
    <row r="926" customFormat="1"/>
    <row r="927" customFormat="1"/>
    <row r="928" customFormat="1"/>
    <row r="929" customFormat="1"/>
    <row r="930" customFormat="1"/>
    <row r="931" customFormat="1"/>
    <row r="932" customFormat="1"/>
    <row r="933" customFormat="1"/>
    <row r="934" customFormat="1"/>
    <row r="935" customFormat="1"/>
    <row r="936" customFormat="1"/>
    <row r="937" customFormat="1"/>
    <row r="938" customFormat="1"/>
    <row r="939" customFormat="1"/>
    <row r="940" customFormat="1"/>
    <row r="941" customFormat="1"/>
    <row r="942" customFormat="1"/>
    <row r="943" customFormat="1"/>
    <row r="944" customFormat="1"/>
    <row r="945" customFormat="1"/>
    <row r="946" customFormat="1"/>
    <row r="947" customFormat="1"/>
    <row r="948" customFormat="1"/>
    <row r="949" customFormat="1"/>
    <row r="950" customFormat="1"/>
    <row r="951" customFormat="1"/>
    <row r="952" customFormat="1"/>
    <row r="953" customFormat="1"/>
    <row r="954" customFormat="1"/>
    <row r="955" customFormat="1"/>
    <row r="956" customFormat="1"/>
    <row r="957" customFormat="1"/>
    <row r="958" customFormat="1"/>
    <row r="959" customFormat="1"/>
    <row r="960" customFormat="1"/>
    <row r="961" customFormat="1"/>
    <row r="962" customFormat="1"/>
    <row r="963" customFormat="1"/>
    <row r="964" customFormat="1"/>
    <row r="965" customFormat="1"/>
    <row r="966" customFormat="1"/>
    <row r="967" customFormat="1"/>
    <row r="968" customFormat="1"/>
    <row r="969" customFormat="1"/>
    <row r="970" customFormat="1"/>
    <row r="971" customFormat="1"/>
    <row r="972" customFormat="1"/>
    <row r="973" customFormat="1"/>
    <row r="974" customFormat="1"/>
    <row r="975" customFormat="1"/>
    <row r="976" customFormat="1"/>
    <row r="977" customFormat="1"/>
    <row r="978" customFormat="1"/>
    <row r="979" customFormat="1"/>
    <row r="980" customFormat="1"/>
    <row r="981" customFormat="1"/>
    <row r="982" customFormat="1"/>
    <row r="983" customFormat="1"/>
    <row r="984" customFormat="1"/>
    <row r="985" customFormat="1"/>
    <row r="986" customFormat="1"/>
    <row r="987" customFormat="1"/>
    <row r="988" customFormat="1"/>
    <row r="989" customFormat="1"/>
    <row r="990" customFormat="1"/>
    <row r="991" customFormat="1"/>
    <row r="992" customFormat="1"/>
    <row r="993" customFormat="1"/>
    <row r="994" customFormat="1"/>
    <row r="995" customFormat="1"/>
    <row r="996" customFormat="1"/>
    <row r="997" customFormat="1"/>
    <row r="998" customFormat="1"/>
    <row r="999" customFormat="1"/>
    <row r="1000" customFormat="1"/>
  </sheetData>
  <mergeCells count="18">
    <mergeCell ref="B32:O32"/>
    <mergeCell ref="B33:O33"/>
    <mergeCell ref="B34:O34"/>
    <mergeCell ref="B35:O35"/>
    <mergeCell ref="B36:O36"/>
    <mergeCell ref="B27:O27"/>
    <mergeCell ref="B28:O28"/>
    <mergeCell ref="B29:O29"/>
    <mergeCell ref="B30:O30"/>
    <mergeCell ref="B31:O31"/>
    <mergeCell ref="D43:F43"/>
    <mergeCell ref="D44:F44"/>
    <mergeCell ref="D45:F45"/>
    <mergeCell ref="B37:O37"/>
    <mergeCell ref="B38:O38"/>
    <mergeCell ref="B39:O39"/>
    <mergeCell ref="B40:O40"/>
    <mergeCell ref="B41:O41"/>
  </mergeCells>
  <pageMargins left="0.7" right="0.7" top="0.75" bottom="0.75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Copia de COTIZADOR ENTREGA INME</vt:lpstr>
      <vt:lpstr>CC MAESTRA</vt:lpstr>
      <vt:lpstr>CC URMENETA</vt:lpstr>
      <vt:lpstr>CC RVC</vt:lpstr>
      <vt:lpstr>TOC TOC</vt:lpstr>
      <vt:lpstr>CC INGEVEC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 I3</dc:creator>
  <cp:lastModifiedBy>Felipe Donoso</cp:lastModifiedBy>
  <dcterms:created xsi:type="dcterms:W3CDTF">2026-04-27T03:29:39Z</dcterms:created>
  <dcterms:modified xsi:type="dcterms:W3CDTF">2026-04-29T17:06:14Z</dcterms:modified>
</cp:coreProperties>
</file>