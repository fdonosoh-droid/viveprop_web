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cotizador-web-mp\Archivos\"/>
    </mc:Choice>
  </mc:AlternateContent>
  <xr:revisionPtr revIDLastSave="0" documentId="8_{444887BC-5643-48C5-A3AC-6062BFB031B9}" xr6:coauthVersionLast="47" xr6:coauthVersionMax="47" xr10:uidLastSave="{00000000-0000-0000-0000-000000000000}"/>
  <bookViews>
    <workbookView xWindow="28680" yWindow="-120" windowWidth="29040" windowHeight="15720" xr2:uid="{64575A18-35A4-48EC-AC57-6FE893108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4" i="1"/>
  <c r="D13" i="1"/>
  <c r="D12" i="1"/>
  <c r="C16" i="1"/>
  <c r="C14" i="1"/>
</calcChain>
</file>

<file path=xl/sharedStrings.xml><?xml version="1.0" encoding="utf-8"?>
<sst xmlns="http://schemas.openxmlformats.org/spreadsheetml/2006/main" count="9" uniqueCount="9">
  <si>
    <t>Ingresos: son los ingresos mensuales por arriendos para el periodo a evaluar</t>
  </si>
  <si>
    <t>Costos: 10% de suma de Ingresos mensuales</t>
  </si>
  <si>
    <t>Inversión: Valor de compra de la propiedad</t>
  </si>
  <si>
    <t>ROI</t>
  </si>
  <si>
    <t>ROI s/pie 5 años = (Flujo acumulado 5 años ($) - Flujo acumulado 5 años ($))/Valor de Venta</t>
  </si>
  <si>
    <t>ROI anual compuesto = ROI s/pie 5 años / 5</t>
  </si>
  <si>
    <t>Inversion</t>
  </si>
  <si>
    <t>Ingresos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</si>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</sst>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15110D15-7890-4A85-812E-2B42DD108C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2522-DE12-4D61-8A1C-407D71DD4484}">
  <dimension ref="B3:G16"/>
  <sheetViews>
    <sheetView showGridLines="0" tabSelected="1" workbookViewId="0">
      <selection activeCell="B12" sqref="B12:C14"/>
    </sheetView>
  </sheetViews>
  <sheetFormatPr defaultRowHeight="14.4" x14ac:dyDescent="0.3"/>
  <cols>
    <col min="2" max="2" width="10.77734375" bestFit="1" customWidth="1"/>
    <col min="3" max="4" width="10" bestFit="1" customWidth="1"/>
    <col min="5" max="5" width="69.109375" bestFit="1" customWidth="1"/>
    <col min="7" max="7" width="82.109375" bestFit="1" customWidth="1"/>
  </cols>
  <sheetData>
    <row r="3" spans="2:7" ht="15" thickBot="1" x14ac:dyDescent="0.35"/>
    <row r="4" spans="2:7" ht="15" thickBot="1" x14ac:dyDescent="0.35">
      <c r="E4" s="1" t="s">
        <v>0</v>
      </c>
      <c r="G4" s="4" t="s">
        <v>4</v>
      </c>
    </row>
    <row r="5" spans="2:7" ht="15" thickBot="1" x14ac:dyDescent="0.35">
      <c r="E5" s="2" t="s">
        <v>1</v>
      </c>
    </row>
    <row r="6" spans="2:7" ht="15" thickBot="1" x14ac:dyDescent="0.35">
      <c r="E6" s="3" t="s">
        <v>2</v>
      </c>
      <c r="G6" s="4" t="s">
        <v>5</v>
      </c>
    </row>
    <row r="12" spans="2:7" x14ac:dyDescent="0.3">
      <c r="B12" t="s">
        <v>6</v>
      </c>
      <c r="C12">
        <v>100952544</v>
      </c>
      <c r="D12">
        <f>C12</f>
        <v>100952544</v>
      </c>
    </row>
    <row r="13" spans="2:7" x14ac:dyDescent="0.3">
      <c r="B13" t="s">
        <v>7</v>
      </c>
      <c r="C13">
        <v>450000</v>
      </c>
      <c r="D13">
        <f>((C13*11)*5)</f>
        <v>24750000</v>
      </c>
    </row>
    <row r="14" spans="2:7" x14ac:dyDescent="0.3">
      <c r="B14" t="s">
        <v>8</v>
      </c>
      <c r="C14">
        <f>C13*0.1</f>
        <v>45000</v>
      </c>
      <c r="D14">
        <f>D13*0.1</f>
        <v>2475000</v>
      </c>
    </row>
    <row r="16" spans="2:7" x14ac:dyDescent="0.3">
      <c r="B16" t="s">
        <v>3</v>
      </c>
      <c r="C16" s="5">
        <f>(C13-C14)/C12</f>
        <v>4.0117859734173714E-3</v>
      </c>
      <c r="D16" s="5">
        <f>(D13-D14)/D12</f>
        <v>0.2206482285379554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Donoso</dc:creator>
  <cp:lastModifiedBy>Felipe Donoso</cp:lastModifiedBy>
  <dcterms:created xsi:type="dcterms:W3CDTF">2026-04-23T19:23:04Z</dcterms:created>
  <dcterms:modified xsi:type="dcterms:W3CDTF">2026-04-23T21:36:51Z</dcterms:modified>
</cp:coreProperties>
</file>