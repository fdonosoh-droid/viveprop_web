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 I3\Downloads\"/>
    </mc:Choice>
  </mc:AlternateContent>
  <xr:revisionPtr revIDLastSave="0" documentId="8_{A47B6B1F-676B-483F-A7CB-A66E0B7AC240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Copia de COTIZADOR ENTREGA INME" sheetId="10" state="hidden" r:id="rId1"/>
    <sheet name="CC MAESTRA FEBRERO" sheetId="11" r:id="rId2"/>
    <sheet name="CC URMENETA FEBRERO" sheetId="12" r:id="rId3"/>
    <sheet name="CC RVC FEBRERO" sheetId="13" r:id="rId4"/>
    <sheet name="TOC TOC FEBRERO" sheetId="14" r:id="rId5"/>
    <sheet name="CC INGEVEC FEBRERO" sheetId="15" r:id="rId6"/>
  </sheets>
  <definedNames>
    <definedName name="_xlnm._FilterDatabase" localSheetId="2" hidden="1">'CC URMENETA FEBRERO'!$A$4:$Z$199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9" roundtripDataChecksum="RsBnEQxlGMiVKrryumQZaEFuxoQZarlgNwqw/EXV3wU="/>
    </ext>
  </extLst>
</workbook>
</file>

<file path=xl/calcChain.xml><?xml version="1.0" encoding="utf-8"?>
<calcChain xmlns="http://schemas.openxmlformats.org/spreadsheetml/2006/main">
  <c r="I10" i="11" l="1"/>
  <c r="I9" i="11"/>
  <c r="I8" i="11"/>
  <c r="I7" i="11"/>
  <c r="I6" i="11"/>
  <c r="I5" i="11"/>
  <c r="I4" i="11"/>
  <c r="G71" i="10"/>
  <c r="G65" i="10"/>
  <c r="F65" i="10"/>
  <c r="E65" i="10"/>
  <c r="G64" i="10"/>
  <c r="F64" i="10"/>
  <c r="G63" i="10"/>
  <c r="F63" i="10"/>
  <c r="G55" i="10"/>
  <c r="F55" i="10"/>
  <c r="G48" i="10"/>
  <c r="F48" i="10"/>
  <c r="G40" i="10"/>
  <c r="E40" i="10"/>
  <c r="E33" i="10"/>
  <c r="E32" i="10"/>
  <c r="G32" i="10" s="1"/>
  <c r="G31" i="10"/>
  <c r="E31" i="10"/>
  <c r="G30" i="10"/>
  <c r="E63" i="10" s="1"/>
  <c r="E30" i="10"/>
  <c r="E29" i="10"/>
  <c r="G28" i="10"/>
  <c r="E28" i="10"/>
  <c r="G27" i="10"/>
  <c r="G26" i="10"/>
  <c r="G25" i="10"/>
  <c r="G19" i="10"/>
  <c r="F40" i="10" l="1"/>
  <c r="F71" i="10"/>
  <c r="E71" i="10"/>
  <c r="E34" i="10"/>
  <c r="G33" i="10"/>
  <c r="E39" i="10"/>
  <c r="E41" i="10" l="1"/>
  <c r="G39" i="10"/>
  <c r="E44" i="10"/>
  <c r="G44" i="10" s="1"/>
  <c r="G34" i="10"/>
  <c r="F31" i="10" l="1"/>
  <c r="E50" i="10"/>
  <c r="G62" i="10"/>
  <c r="G66" i="10" s="1"/>
  <c r="F62" i="10"/>
  <c r="F66" i="10" s="1"/>
  <c r="G50" i="10"/>
  <c r="F50" i="10"/>
  <c r="E62" i="10"/>
  <c r="E66" i="10" s="1"/>
  <c r="G41" i="10"/>
  <c r="G42" i="10" s="1"/>
  <c r="F41" i="10"/>
  <c r="F42" i="10" s="1"/>
  <c r="E42" i="10"/>
  <c r="G68" i="10" l="1"/>
  <c r="G69" i="10" s="1"/>
  <c r="G70" i="10" s="1"/>
  <c r="E56" i="10"/>
  <c r="E57" i="10" s="1"/>
  <c r="E61" i="10" s="1"/>
  <c r="E67" i="10" s="1"/>
  <c r="E51" i="10"/>
  <c r="G56" i="10"/>
  <c r="G57" i="10" s="1"/>
  <c r="G61" i="10" s="1"/>
  <c r="G67" i="10" s="1"/>
  <c r="G51" i="10"/>
  <c r="F51" i="10"/>
  <c r="F56" i="10"/>
  <c r="F57" i="10" s="1"/>
  <c r="F61" i="10" s="1"/>
  <c r="F67" i="10" s="1"/>
  <c r="E68" i="10" l="1"/>
  <c r="E69" i="10" s="1"/>
  <c r="E70" i="10" s="1"/>
  <c r="F68" i="10"/>
  <c r="F69" i="10" s="1"/>
  <c r="F70" i="10" s="1"/>
</calcChain>
</file>

<file path=xl/sharedStrings.xml><?xml version="1.0" encoding="utf-8"?>
<sst xmlns="http://schemas.openxmlformats.org/spreadsheetml/2006/main" count="2142" uniqueCount="885">
  <si>
    <t>COMUNA</t>
  </si>
  <si>
    <t>OPORTUNIDADES</t>
  </si>
  <si>
    <t>Independencia</t>
  </si>
  <si>
    <t>2D2B</t>
  </si>
  <si>
    <t>La Cisterna</t>
  </si>
  <si>
    <t>Estudio</t>
  </si>
  <si>
    <t>1D1B</t>
  </si>
  <si>
    <t>32,5</t>
  </si>
  <si>
    <t>2D1B</t>
  </si>
  <si>
    <t>45,2</t>
  </si>
  <si>
    <t>Estación Central</t>
  </si>
  <si>
    <t>Santiago</t>
  </si>
  <si>
    <t>La Florida</t>
  </si>
  <si>
    <t>Quinta Normal</t>
  </si>
  <si>
    <t>3D2B</t>
  </si>
  <si>
    <t>Estacionamiento</t>
  </si>
  <si>
    <t>Ñuñoa</t>
  </si>
  <si>
    <t>San Miguel</t>
  </si>
  <si>
    <t>3D1B</t>
  </si>
  <si>
    <t>Pintor Cicarelli II</t>
  </si>
  <si>
    <t>San Joaquín</t>
  </si>
  <si>
    <t>53,2</t>
  </si>
  <si>
    <t>51,7</t>
  </si>
  <si>
    <t>Norte</t>
  </si>
  <si>
    <t>37,2</t>
  </si>
  <si>
    <t>43,5</t>
  </si>
  <si>
    <t>Coquimbo</t>
  </si>
  <si>
    <t>33,5</t>
  </si>
  <si>
    <t>50,5</t>
  </si>
  <si>
    <t>50,7</t>
  </si>
  <si>
    <t>45,5</t>
  </si>
  <si>
    <t>Renca</t>
  </si>
  <si>
    <t>51,5</t>
  </si>
  <si>
    <t>46,1</t>
  </si>
  <si>
    <t>56,2</t>
  </si>
  <si>
    <t>Valparaíso</t>
  </si>
  <si>
    <t>45,6</t>
  </si>
  <si>
    <t>Trinidad III</t>
  </si>
  <si>
    <t>52,5</t>
  </si>
  <si>
    <t>35,4</t>
  </si>
  <si>
    <t>34,2</t>
  </si>
  <si>
    <t>Concepción</t>
  </si>
  <si>
    <t>57,1</t>
  </si>
  <si>
    <t>50,8</t>
  </si>
  <si>
    <t>34,3</t>
  </si>
  <si>
    <t>Aldunate</t>
  </si>
  <si>
    <t>44,9</t>
  </si>
  <si>
    <t>Plaza Cervantes I</t>
  </si>
  <si>
    <t>35,1</t>
  </si>
  <si>
    <t>Cerrillos</t>
  </si>
  <si>
    <t>General Mackenna</t>
  </si>
  <si>
    <t>46,7</t>
  </si>
  <si>
    <t>Antofagasta</t>
  </si>
  <si>
    <t>54,3</t>
  </si>
  <si>
    <t>36,3</t>
  </si>
  <si>
    <t>44,3</t>
  </si>
  <si>
    <t>34,4</t>
  </si>
  <si>
    <t>53,9</t>
  </si>
  <si>
    <t>47,2</t>
  </si>
  <si>
    <t>TIPO ENTREGA</t>
  </si>
  <si>
    <t>Entrega Inmediata</t>
  </si>
  <si>
    <t>Inmediata</t>
  </si>
  <si>
    <t>Bodega</t>
  </si>
  <si>
    <t>2Dg1B</t>
  </si>
  <si>
    <t>1D1BSg</t>
  </si>
  <si>
    <t>1D1BS</t>
  </si>
  <si>
    <t>2do semestre 2027</t>
  </si>
  <si>
    <t>Valparaiso</t>
  </si>
  <si>
    <t>1er semestre 2028</t>
  </si>
  <si>
    <t>43,8</t>
  </si>
  <si>
    <t>2do semestre 2028</t>
  </si>
  <si>
    <t>1er semestre 2029</t>
  </si>
  <si>
    <t>2D2BM</t>
  </si>
  <si>
    <t>33,3</t>
  </si>
  <si>
    <t>LOCAL COMERCIAL</t>
  </si>
  <si>
    <t>Rancagua</t>
  </si>
  <si>
    <t>Temuco</t>
  </si>
  <si>
    <t>Quilicura</t>
  </si>
  <si>
    <t>SERRANO TORRE A</t>
  </si>
  <si>
    <t>Puerto Montt</t>
  </si>
  <si>
    <t>EDIFICIO PEDRO DE LA BARRA</t>
  </si>
  <si>
    <t>2D/2B/CI/4C</t>
  </si>
  <si>
    <t>2D/2B/CI/4C/M</t>
  </si>
  <si>
    <t>EDIFICIO GUILLERMO MANN</t>
  </si>
  <si>
    <t>2D/2B/CK/4C</t>
  </si>
  <si>
    <t>PARQUE MARAÑON TORRE A</t>
  </si>
  <si>
    <t>EDIFICIO PARQUE URBANO</t>
  </si>
  <si>
    <t>Viña del Mar</t>
  </si>
  <si>
    <t>CONDOMINIO PARQUE DEL SUR TORRE A</t>
  </si>
  <si>
    <t>1D/1B/CK/2C</t>
  </si>
  <si>
    <t>3D/1B/CK/5C</t>
  </si>
  <si>
    <t>2D/1B/CK/4C</t>
  </si>
  <si>
    <t>2D/1B/CK/3C</t>
  </si>
  <si>
    <t>EDIFICIO CORONEL SOUPER</t>
  </si>
  <si>
    <t>EDIFICIO CASTILLO URIZAR</t>
  </si>
  <si>
    <t>EDIFICIO TRINIDAD RAMIREZ</t>
  </si>
  <si>
    <t>EDIFICIO LIA AGUIRRE</t>
  </si>
  <si>
    <t>2D/2B/CK/4C/M</t>
  </si>
  <si>
    <t>Concon</t>
  </si>
  <si>
    <t>3D/2B/CC/6C</t>
  </si>
  <si>
    <t>3D/2B/CI/6C</t>
  </si>
  <si>
    <t>ALTO MARAÑON 3</t>
  </si>
  <si>
    <t>3D/2B/CI/5C</t>
  </si>
  <si>
    <t>1D/1B</t>
  </si>
  <si>
    <t>2D/2B</t>
  </si>
  <si>
    <t>1,5D/1B</t>
  </si>
  <si>
    <t>2D/1B</t>
  </si>
  <si>
    <t>35,6</t>
  </si>
  <si>
    <t>1.5D/2B 1S</t>
  </si>
  <si>
    <t>2D/2B 2S</t>
  </si>
  <si>
    <t>1.5D/2B 2S</t>
  </si>
  <si>
    <t>1er Semestre 2027</t>
  </si>
  <si>
    <t>2D/2B 1S</t>
  </si>
  <si>
    <t>2D/2B L</t>
  </si>
  <si>
    <t>Etapa</t>
  </si>
  <si>
    <t>Reserva</t>
  </si>
  <si>
    <t>Inmobiliaria</t>
  </si>
  <si>
    <t>Nombre Broker</t>
  </si>
  <si>
    <t>Nombre Cliente</t>
  </si>
  <si>
    <t>E-mail</t>
  </si>
  <si>
    <t>Rut</t>
  </si>
  <si>
    <t>Celular</t>
  </si>
  <si>
    <t>Datos del proyecto</t>
  </si>
  <si>
    <t>Proyecto</t>
  </si>
  <si>
    <t>Entrega Aprox.</t>
  </si>
  <si>
    <t>Características de la propiedad</t>
  </si>
  <si>
    <t>Nº Unidad</t>
  </si>
  <si>
    <t>Piso</t>
  </si>
  <si>
    <t>Orientación</t>
  </si>
  <si>
    <t>Tipología</t>
  </si>
  <si>
    <t>Dormitorios</t>
  </si>
  <si>
    <t>Baños</t>
  </si>
  <si>
    <t>Sup. Útil</t>
  </si>
  <si>
    <t>Sup. Terraza</t>
  </si>
  <si>
    <t>Sup. Total</t>
  </si>
  <si>
    <t>Valor UF</t>
  </si>
  <si>
    <t>Valores</t>
  </si>
  <si>
    <t>UF</t>
  </si>
  <si>
    <t>%</t>
  </si>
  <si>
    <t>$</t>
  </si>
  <si>
    <t>Upfront a la Promesa</t>
  </si>
  <si>
    <t>Aporte Inmobiliaria</t>
  </si>
  <si>
    <t>Plan de pago</t>
  </si>
  <si>
    <t>Valor</t>
  </si>
  <si>
    <t>Pie Pendiente</t>
  </si>
  <si>
    <t>Valor por Cuota</t>
  </si>
  <si>
    <t>Crédito Hipotecario</t>
  </si>
  <si>
    <t>Plazo en años</t>
  </si>
  <si>
    <t>Años</t>
  </si>
  <si>
    <t>CAE</t>
  </si>
  <si>
    <t>Cuota crédito Hipotecario</t>
  </si>
  <si>
    <t xml:space="preserve">Cuota crédito Hipotecario </t>
  </si>
  <si>
    <t>Flujo</t>
  </si>
  <si>
    <t>Arriendo</t>
  </si>
  <si>
    <t>A 5 años</t>
  </si>
  <si>
    <t>Flujo Acumulado</t>
  </si>
  <si>
    <t>Crédito Hipotecario Amortizado</t>
  </si>
  <si>
    <t>Pie Pagado</t>
  </si>
  <si>
    <t>Plusvalía Anual</t>
  </si>
  <si>
    <t>Plusvalía Acumulada</t>
  </si>
  <si>
    <t>Precio Venta año 5 - Deuda Hipotecaria</t>
  </si>
  <si>
    <t>Total Invertido</t>
  </si>
  <si>
    <t>Ganancia</t>
  </si>
  <si>
    <t>ROI a 5 Años</t>
  </si>
  <si>
    <t>ROI Anual</t>
  </si>
  <si>
    <t>Caprate</t>
  </si>
  <si>
    <t>** Esta cotización y su información es de responsabilidad del broker que la emite. VIVEPROP no se hace responsable por la información aquí expresada. **</t>
  </si>
  <si>
    <t>EDIFICIO BRIONES LUCO</t>
  </si>
  <si>
    <t>EDIFICIO LEON PRADO</t>
  </si>
  <si>
    <t>CONDOMINIO JORGE CÁCERES ETAPA 2</t>
  </si>
  <si>
    <t>UF 10</t>
  </si>
  <si>
    <t>PROYECTO</t>
  </si>
  <si>
    <t>ENTREGA</t>
  </si>
  <si>
    <t>INMEDIATA</t>
  </si>
  <si>
    <t>Precio Lista</t>
  </si>
  <si>
    <t>Descuento</t>
  </si>
  <si>
    <t>Precio con Descuento</t>
  </si>
  <si>
    <t>Pie</t>
  </si>
  <si>
    <t>Credito Hipotecario aprox</t>
  </si>
  <si>
    <t>Precio escritura</t>
  </si>
  <si>
    <t>CHECK LIST PARA VB DE PROMESAS MAESTRA BROKERS</t>
  </si>
  <si>
    <t>Condiciones FEBRERO 2026</t>
  </si>
  <si>
    <t>Descuento Base</t>
  </si>
  <si>
    <t>Dcto Adicional</t>
  </si>
  <si>
    <t>Giftcard</t>
  </si>
  <si>
    <t>Upfront</t>
  </si>
  <si>
    <t>Pie en cuotas</t>
  </si>
  <si>
    <t>UPAGO Cuotas</t>
  </si>
  <si>
    <t>Cuota desde</t>
  </si>
  <si>
    <t>Certificado Pago</t>
  </si>
  <si>
    <t>Mutuo UPAGO</t>
  </si>
  <si>
    <t>RAZÓN SOCIAL</t>
  </si>
  <si>
    <t>RUT</t>
  </si>
  <si>
    <t>Vista Llacolén B2</t>
  </si>
  <si>
    <t>2027 - S2</t>
  </si>
  <si>
    <t>UF 7,0</t>
  </si>
  <si>
    <t>No</t>
  </si>
  <si>
    <t>Vista Reloncaví</t>
  </si>
  <si>
    <t>MAESTRA CONDELL S.A.</t>
  </si>
  <si>
    <t>76113459-0</t>
  </si>
  <si>
    <t>Vista Llacolén A</t>
  </si>
  <si>
    <t>2028 - S2</t>
  </si>
  <si>
    <t>RUT escaneado</t>
  </si>
  <si>
    <t>Jardines de Alvarado</t>
  </si>
  <si>
    <t>MAESTRA DON RODRIGO SPA</t>
  </si>
  <si>
    <t>76416917-4</t>
  </si>
  <si>
    <t xml:space="preserve">PD </t>
  </si>
  <si>
    <t>2028 - S1</t>
  </si>
  <si>
    <t>Reserva Firmada y pagada</t>
  </si>
  <si>
    <t>Liquidaciones de Sueldo</t>
  </si>
  <si>
    <t>Apostol Santiago</t>
  </si>
  <si>
    <t>MAESTRA ENTRE RIOS SPA</t>
  </si>
  <si>
    <t>76411296-2</t>
  </si>
  <si>
    <t>Aprobación de Crédito</t>
  </si>
  <si>
    <t>Cáceres</t>
  </si>
  <si>
    <t>MAESTRA PROYECTOS SPA</t>
  </si>
  <si>
    <t>77274888-4</t>
  </si>
  <si>
    <t>Vistamar</t>
  </si>
  <si>
    <t>Promesa firmada</t>
  </si>
  <si>
    <t>Pre-Aprobación de Crédito + Infocheck Crédito Full</t>
  </si>
  <si>
    <t>Mirador Mapocho</t>
  </si>
  <si>
    <t>Alto Buzeta (MT)</t>
  </si>
  <si>
    <t>Pre-entrega</t>
  </si>
  <si>
    <t>3% 3D</t>
  </si>
  <si>
    <t>Max 10%</t>
  </si>
  <si>
    <t>ENTREGA INMEDIATA</t>
  </si>
  <si>
    <t>ENTREGA FUTURA</t>
  </si>
  <si>
    <t>INVERSIONES IGNACIO SERRANO SPA</t>
  </si>
  <si>
    <t>77956043-0</t>
  </si>
  <si>
    <t>Pintor Cicarelli I (PC I)</t>
  </si>
  <si>
    <t>Mutuo y GOP pagado (si aplica)</t>
  </si>
  <si>
    <t>PD *</t>
  </si>
  <si>
    <t>Mutuo con pago automático Upago</t>
  </si>
  <si>
    <t>Upfront pagado</t>
  </si>
  <si>
    <t>Plaza Quilicura</t>
  </si>
  <si>
    <t>Certificado de Pago (si aplica)</t>
  </si>
  <si>
    <t>Suscripción de pago automático Upago</t>
  </si>
  <si>
    <t>Promoción Firmada (si aplica)</t>
  </si>
  <si>
    <t>Vista Costanera</t>
  </si>
  <si>
    <t>MAESTRA QUILPUE DOS SPA</t>
  </si>
  <si>
    <t>76489618-1</t>
  </si>
  <si>
    <t>EETT firmada</t>
  </si>
  <si>
    <t>MAESTRA SANTA ROSA SPA</t>
  </si>
  <si>
    <t>76409319-4</t>
  </si>
  <si>
    <t>PEP firmado</t>
  </si>
  <si>
    <t>Pie pagado</t>
  </si>
  <si>
    <t>Reserva Contabilizada</t>
  </si>
  <si>
    <t>Plaza Cervantes II</t>
  </si>
  <si>
    <t>Promesa firmada por representantes de Maestra</t>
  </si>
  <si>
    <t>MAESTRA TRAVESIA SPA</t>
  </si>
  <si>
    <t>77700583-9</t>
  </si>
  <si>
    <t>2% 2D (36m2)</t>
  </si>
  <si>
    <t>MAESTRA VISTAMAR SPA</t>
  </si>
  <si>
    <t>77684739-9</t>
  </si>
  <si>
    <t>PINTOR CICARELLI I SPA</t>
  </si>
  <si>
    <t>77684746-1</t>
  </si>
  <si>
    <t>Pago de Reserva Webpay:</t>
  </si>
  <si>
    <t>VISTA LLACOLEN SPA</t>
  </si>
  <si>
    <t>77684759-3</t>
  </si>
  <si>
    <t>2% 3D</t>
  </si>
  <si>
    <t>https://www.webpay.cl/company/32764</t>
  </si>
  <si>
    <r>
      <rPr>
        <sz val="11"/>
        <color theme="1"/>
        <rFont val="Aptos Narrow"/>
      </rPr>
      <t xml:space="preserve">Recordar que </t>
    </r>
    <r>
      <rPr>
        <b/>
        <sz val="11"/>
        <color theme="1"/>
        <rFont val="Aptos Narrow"/>
      </rPr>
      <t>la cuota mínima</t>
    </r>
    <r>
      <rPr>
        <sz val="11"/>
        <color theme="1"/>
        <rFont val="Aptos Narrow"/>
      </rPr>
      <t xml:space="preserve"> en todos los casos es de </t>
    </r>
    <r>
      <rPr>
        <b/>
        <sz val="11"/>
        <color theme="1"/>
        <rFont val="Aptos Narrow"/>
      </rPr>
      <t>UF 7;</t>
    </r>
    <r>
      <rPr>
        <sz val="11"/>
        <color theme="1"/>
        <rFont val="Aptos Narrow"/>
      </rPr>
      <t xml:space="preserve"> para el caso de Pintor Cicarelli I y Alto Buzeta se debe pagar Upfront y fijar cuota de UF 7 por los meses que quedan para comenzar la escrituración.</t>
    </r>
  </si>
  <si>
    <t>Portal de Pago UPago:</t>
  </si>
  <si>
    <t>Y excepcionalmente para pago de Pie:</t>
  </si>
  <si>
    <t>https://pay.upago.cl/go/inmobiliaria-maestra</t>
  </si>
  <si>
    <t>https://www.webpay.cl/company/33138</t>
  </si>
  <si>
    <r>
      <rPr>
        <b/>
        <sz val="11"/>
        <color theme="1"/>
        <rFont val="Aptos Narrow"/>
      </rPr>
      <t>Jardines de Alvarado</t>
    </r>
    <r>
      <rPr>
        <sz val="11"/>
        <color theme="1"/>
        <rFont val="Aptos Narrow"/>
      </rPr>
      <t xml:space="preserve">: Bajan los estacionamientos!! </t>
    </r>
    <r>
      <rPr>
        <b/>
        <sz val="11"/>
        <color theme="1"/>
        <rFont val="Aptos Narrow"/>
      </rPr>
      <t>2 x UF 400</t>
    </r>
    <r>
      <rPr>
        <sz val="11"/>
        <color theme="1"/>
        <rFont val="Aptos Narrow"/>
      </rPr>
      <t xml:space="preserve"> | </t>
    </r>
    <r>
      <rPr>
        <b/>
        <sz val="11"/>
        <color theme="1"/>
        <rFont val="Aptos Narrow"/>
      </rPr>
      <t>1 x UF 250</t>
    </r>
  </si>
  <si>
    <r>
      <rPr>
        <b/>
        <sz val="11"/>
        <color theme="1"/>
        <rFont val="Aptos Narrow"/>
      </rPr>
      <t>Promoción Entrega Inmediata</t>
    </r>
    <r>
      <rPr>
        <sz val="11"/>
        <color theme="1"/>
        <rFont val="Aptos Narrow"/>
      </rPr>
      <t xml:space="preserve">:  Devolución de $800.000 por concepto de Gastos Operacionales </t>
    </r>
    <r>
      <rPr>
        <b/>
        <sz val="11"/>
        <color theme="1"/>
        <rFont val="Aptos Narrow"/>
      </rPr>
      <t>ó</t>
    </r>
    <r>
      <rPr>
        <sz val="11"/>
        <color theme="1"/>
        <rFont val="Aptos Narrow"/>
      </rPr>
      <t xml:space="preserve"> pago de Gastos Comunes (Efectivo 30 días post CBR).</t>
    </r>
  </si>
  <si>
    <t>TRANSFERENCIA (sólo casos excepcionales)</t>
  </si>
  <si>
    <t>VALE VISTA (sólo casos excepcionales)</t>
  </si>
  <si>
    <t>76.849.520-3</t>
  </si>
  <si>
    <r>
      <rPr>
        <b/>
        <sz val="11"/>
        <color theme="1"/>
        <rFont val="Aptos Narrow"/>
      </rPr>
      <t>Nominativo</t>
    </r>
    <r>
      <rPr>
        <sz val="11"/>
        <color theme="1"/>
        <rFont val="Aptos Narrow"/>
      </rPr>
      <t xml:space="preserve"> a nombre y RUT de la SpA del Proyecto</t>
    </r>
  </si>
  <si>
    <r>
      <rPr>
        <sz val="11"/>
        <color theme="1"/>
        <rFont val="Aptos Narrow"/>
      </rPr>
      <t xml:space="preserve">Nueva Promoción </t>
    </r>
    <r>
      <rPr>
        <b/>
        <sz val="11"/>
        <color theme="1"/>
        <rFont val="Aptos Narrow"/>
      </rPr>
      <t>Arriendo Garantizado</t>
    </r>
    <r>
      <rPr>
        <sz val="11"/>
        <color theme="1"/>
        <rFont val="Aptos Narrow"/>
      </rPr>
      <t xml:space="preserve"> (gestionado por Assetplan):</t>
    </r>
  </si>
  <si>
    <t>MAESTRA S.A.</t>
  </si>
  <si>
    <t>Enviar correo de pago a GERALDINE.SALAS@MAESTRA.CL</t>
  </si>
  <si>
    <r>
      <rPr>
        <b/>
        <sz val="11"/>
        <color theme="1"/>
        <rFont val="Aptos Narrow"/>
      </rPr>
      <t>Jardines de Alvarado</t>
    </r>
    <r>
      <rPr>
        <sz val="11"/>
        <color theme="1"/>
        <rFont val="Aptos Narrow"/>
      </rPr>
      <t>: solo tipología 3D1B (con descuento máximo de venta de 12%)</t>
    </r>
  </si>
  <si>
    <t>SCOTIABANK</t>
  </si>
  <si>
    <t>Enviar documento a:</t>
  </si>
  <si>
    <r>
      <rPr>
        <b/>
        <sz val="11"/>
        <color theme="1"/>
        <rFont val="Aptos Narrow"/>
      </rPr>
      <t>Mirador Mapocho</t>
    </r>
    <r>
      <rPr>
        <sz val="11"/>
        <color theme="1"/>
        <rFont val="Aptos Narrow"/>
      </rPr>
      <t>: solo tipología 1D1B (con descuento máximo de venta de 7%)</t>
    </r>
  </si>
  <si>
    <t>CTA CTE 1167294</t>
  </si>
  <si>
    <t>Edificio Work Plaza La Dehesa</t>
  </si>
  <si>
    <r>
      <rPr>
        <b/>
        <sz val="11"/>
        <color theme="1"/>
        <rFont val="Aptos Narrow"/>
      </rPr>
      <t>Pintor Cicarelli I</t>
    </r>
    <r>
      <rPr>
        <sz val="11"/>
        <color theme="1"/>
        <rFont val="Aptos Narrow"/>
      </rPr>
      <t>: solo tipología 3D1B (con descuento máximo de venta de 12%)</t>
    </r>
  </si>
  <si>
    <t>CANAL.BROKER@maestra.cl</t>
  </si>
  <si>
    <t>Av. La Dehesa N° 222, Torre A, Piso 5, Lo Barnechea</t>
  </si>
  <si>
    <t>PD</t>
  </si>
  <si>
    <t>Proyecto Destacado del mes</t>
  </si>
  <si>
    <r>
      <rPr>
        <b/>
        <sz val="10"/>
        <color theme="1"/>
        <rFont val="Arial"/>
      </rPr>
      <t xml:space="preserve">Apostol Santiago </t>
    </r>
    <r>
      <rPr>
        <b/>
        <sz val="10"/>
        <color rgb="FFFF0000"/>
        <rFont val="Arial"/>
      </rPr>
      <t>*</t>
    </r>
  </si>
  <si>
    <r>
      <rPr>
        <sz val="11"/>
        <color rgb="FFFF0000"/>
        <rFont val="Aptos Narrow"/>
      </rPr>
      <t>NO</t>
    </r>
    <r>
      <rPr>
        <sz val="11"/>
        <color theme="1"/>
        <rFont val="Aptos Narrow"/>
      </rPr>
      <t xml:space="preserve"> aplica subsidio a tasa hipotecaria</t>
    </r>
  </si>
  <si>
    <t>Nomenclatura:</t>
  </si>
  <si>
    <t>Departamento Studio pequeño</t>
  </si>
  <si>
    <t>Departamento Studio grande</t>
  </si>
  <si>
    <t>Departamento de 1 dormitorio y 1 baño</t>
  </si>
  <si>
    <t>Departamento de 2 dormitorios y 1 baño</t>
  </si>
  <si>
    <t>Departamento de 2 dormitorios y 2 baños</t>
  </si>
  <si>
    <t>Departamento de 2 dormitorios y 2 baños Mariposa</t>
  </si>
  <si>
    <t>Departamento de 2 dormitorios grandes y 2 baños</t>
  </si>
  <si>
    <t>Departamento de 3 dormitorios y 1 baño</t>
  </si>
  <si>
    <t>Departamento de 3 dormitorios y 2 baños</t>
  </si>
  <si>
    <t>CONDICIONES DE VENTA CONSOLIDADAS    N°96 v1</t>
  </si>
  <si>
    <t>FECHA</t>
  </si>
  <si>
    <t>02-02-2026 al 28-02-2026</t>
  </si>
  <si>
    <t>D E P T O S.   (ORDENADOS POR FECHA DE ENTREGA):</t>
  </si>
  <si>
    <t xml:space="preserve">Proyecto </t>
  </si>
  <si>
    <t>JV</t>
  </si>
  <si>
    <t>Tipo de entrega</t>
  </si>
  <si>
    <t xml:space="preserve">Valor Reserva </t>
  </si>
  <si>
    <t>% en Cuotas Período de Const.</t>
  </si>
  <si>
    <t>Contra promesa</t>
  </si>
  <si>
    <t>Est min</t>
  </si>
  <si>
    <t>Est max</t>
  </si>
  <si>
    <t>Bod min</t>
  </si>
  <si>
    <t>Bod max</t>
  </si>
  <si>
    <t>Fecha Inicio Escrituración</t>
  </si>
  <si>
    <t>N° Cuotas Período de Construcción</t>
  </si>
  <si>
    <t>Fecha máx pago última cuota</t>
  </si>
  <si>
    <t>Descuento Máximo</t>
  </si>
  <si>
    <t>Desc adic cierre</t>
  </si>
  <si>
    <t>Observaciones</t>
  </si>
  <si>
    <r>
      <rPr>
        <b/>
        <sz val="11"/>
        <color theme="1"/>
        <rFont val="Calibri"/>
      </rPr>
      <t>GREEN CONCEPT VM</t>
    </r>
    <r>
      <rPr>
        <sz val="11"/>
        <color theme="1"/>
        <rFont val="Calibri"/>
      </rPr>
      <t>, Stgo</t>
    </r>
    <r>
      <rPr>
        <b/>
        <sz val="11"/>
        <color theme="1"/>
        <rFont val="Calibri"/>
      </rPr>
      <t xml:space="preserve"> (DEISA)</t>
    </r>
  </si>
  <si>
    <t>SF</t>
  </si>
  <si>
    <t>N/A</t>
  </si>
  <si>
    <t>Studio</t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</si>
  <si>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>cuotas doc  /</t>
    </r>
    <r>
      <rPr>
        <b/>
        <sz val="11"/>
        <color theme="1"/>
        <rFont val="Calibri"/>
      </rPr>
      <t xml:space="preserve"> ó 18 </t>
    </r>
    <r>
      <rPr>
        <sz val="11"/>
        <color theme="1"/>
        <rFont val="Calibri"/>
      </rPr>
      <t>cuotas sin interés tarjeta crédito</t>
    </r>
    <r>
      <rPr>
        <b/>
        <sz val="11"/>
        <color theme="1"/>
        <rFont val="Calibri"/>
      </rPr>
      <t xml:space="preserve"> (máx 20% del precio)</t>
    </r>
  </si>
  <si>
    <t>AGOTADOS</t>
  </si>
  <si>
    <t>1D+1B</t>
  </si>
  <si>
    <t>ATENTOS SI SE LIBERA ALGUNA UNIDAD RESERVADA</t>
  </si>
  <si>
    <t>1,5D/2B</t>
  </si>
  <si>
    <t>1,5D/2B 2S</t>
  </si>
  <si>
    <t xml:space="preserve"> </t>
  </si>
  <si>
    <t>2D/2B KA</t>
  </si>
  <si>
    <r>
      <rPr>
        <b/>
        <sz val="11"/>
        <color theme="1"/>
        <rFont val="Calibri"/>
      </rPr>
      <t>STATUS</t>
    </r>
    <r>
      <rPr>
        <sz val="11"/>
        <color theme="1"/>
        <rFont val="Calibri"/>
      </rPr>
      <t xml:space="preserve">, Stgo. Centro </t>
    </r>
    <r>
      <rPr>
        <b/>
        <sz val="11"/>
        <color theme="1"/>
        <rFont val="Calibri"/>
      </rPr>
      <t>(SANTOLAYA)</t>
    </r>
  </si>
  <si>
    <t>PR</t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</si>
  <si>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 xml:space="preserve">cuotas </t>
    </r>
    <r>
      <rPr>
        <b/>
        <sz val="11"/>
        <color theme="1"/>
        <rFont val="Calibri"/>
      </rPr>
      <t>TOKU</t>
    </r>
    <r>
      <rPr>
        <sz val="11"/>
        <color theme="1"/>
        <rFont val="Calibri"/>
      </rPr>
      <t xml:space="preserve">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crédito (</t>
    </r>
    <r>
      <rPr>
        <b/>
        <sz val="11"/>
        <color theme="1"/>
        <rFont val="Calibri"/>
      </rPr>
      <t>máx 20% del precio)</t>
    </r>
  </si>
  <si>
    <r>
      <rPr>
        <b/>
        <sz val="11"/>
        <color theme="1"/>
        <rFont val="Calibri"/>
      </rPr>
      <t xml:space="preserve">PROMOCION 24D (Bono pie 10%) Y 36D ( Bono pie 15%)(sujeto a valor tasación bco) </t>
    </r>
    <r>
      <rPr>
        <b/>
        <sz val="11"/>
        <color rgb="FFFF0000"/>
        <rFont val="Calibri"/>
      </rPr>
      <t>(24D CUESTA 10% DESCTO, 36D CUESTA 15%)</t>
    </r>
  </si>
  <si>
    <t>CREDITU: 5% RESTA 2% DESCTO  // 10% RESTA 4% DESCTO</t>
  </si>
  <si>
    <t>OK</t>
  </si>
  <si>
    <t>ULTIMOS 2 DEPTO DISP: 119 - 129</t>
  </si>
  <si>
    <t>VENTA OBLIGADA ESTAC Y BOD</t>
  </si>
  <si>
    <t>ESTACIONAMIENTOS: 10% DESCTO</t>
  </si>
  <si>
    <t>2 AÑOS ARRIENDO GARANTIZADO - resta 2,5% descto</t>
  </si>
  <si>
    <t>2D/2B KC</t>
  </si>
  <si>
    <r>
      <rPr>
        <b/>
        <sz val="11"/>
        <color theme="1"/>
        <rFont val="Calibri"/>
      </rPr>
      <t>SUEÑA MARIN</t>
    </r>
    <r>
      <rPr>
        <sz val="11"/>
        <color theme="1"/>
        <rFont val="Calibri"/>
      </rPr>
      <t xml:space="preserve">, Stgo. Centro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</si>
  <si>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 xml:space="preserve">1 a 3 cuotas TOKU </t>
    </r>
    <r>
      <rPr>
        <sz val="11"/>
        <color theme="1"/>
        <rFont val="Calibri"/>
      </rPr>
      <t xml:space="preserve">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crédito (</t>
    </r>
    <r>
      <rPr>
        <b/>
        <sz val="11"/>
        <color theme="1"/>
        <rFont val="Calibri"/>
      </rPr>
      <t>máx 20% del precio)</t>
    </r>
  </si>
  <si>
    <t>PROMOCION 24D  (Bono Pie 10%)</t>
  </si>
  <si>
    <t>ULTIMOS 2 DEPTOS DISPONIBLES: 320 - 820</t>
  </si>
  <si>
    <t>VTA OBLIGADA BODEGA</t>
  </si>
  <si>
    <t>2D/2B 1S MARIP.</t>
  </si>
  <si>
    <r>
      <rPr>
        <b/>
        <sz val="11"/>
        <color theme="1"/>
        <rFont val="Calibri"/>
      </rPr>
      <t>ESPACIO PRIME</t>
    </r>
    <r>
      <rPr>
        <sz val="11"/>
        <color theme="1"/>
        <rFont val="Calibri"/>
      </rPr>
      <t xml:space="preserve">, San Miguel  </t>
    </r>
    <r>
      <rPr>
        <b/>
        <sz val="11"/>
        <color theme="1"/>
        <rFont val="Calibri"/>
      </rPr>
      <t>(IKLP - DEISA)</t>
    </r>
  </si>
  <si>
    <t>2D2BDJ</t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</si>
  <si>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 xml:space="preserve">cuotas doc /ó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cred (máx </t>
    </r>
    <r>
      <rPr>
        <b/>
        <sz val="11"/>
        <color theme="1"/>
        <rFont val="Calibri"/>
      </rPr>
      <t>10%</t>
    </r>
    <r>
      <rPr>
        <sz val="11"/>
        <color theme="1"/>
        <rFont val="Calibri"/>
      </rPr>
      <t xml:space="preserve"> del precio)</t>
    </r>
  </si>
  <si>
    <t xml:space="preserve">PROMOCION 24D </t>
  </si>
  <si>
    <t>2D3BDA</t>
  </si>
  <si>
    <r>
      <rPr>
        <b/>
        <sz val="11"/>
        <color theme="1"/>
        <rFont val="Calibri"/>
      </rPr>
      <t xml:space="preserve">ULTIMOS DEPTOS DISPONIBLES: </t>
    </r>
    <r>
      <rPr>
        <b/>
        <sz val="11"/>
        <color rgb="FFFF0000"/>
        <rFont val="Calibri"/>
      </rPr>
      <t>106  - 1601</t>
    </r>
  </si>
  <si>
    <t>(VER DETALLE PRECIOS FINALES EN HOJA ANEXA)</t>
  </si>
  <si>
    <r>
      <rPr>
        <b/>
        <sz val="11"/>
        <color theme="1"/>
        <rFont val="Calibri"/>
      </rPr>
      <t>SUEÑA STA ELISA</t>
    </r>
    <r>
      <rPr>
        <sz val="11"/>
        <color theme="1"/>
        <rFont val="Calibri"/>
      </rPr>
      <t xml:space="preserve">, La Cisterna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</si>
  <si>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>cuotas doc / ó</t>
    </r>
    <r>
      <rPr>
        <b/>
        <sz val="11"/>
        <color theme="1"/>
        <rFont val="Calibri"/>
      </rPr>
      <t xml:space="preserve"> 18</t>
    </r>
    <r>
      <rPr>
        <sz val="11"/>
        <color theme="1"/>
        <rFont val="Calibri"/>
      </rPr>
      <t xml:space="preserve"> cuotas sin interés tarjeta crédito (máx</t>
    </r>
    <r>
      <rPr>
        <b/>
        <sz val="11"/>
        <color theme="1"/>
        <rFont val="Calibri"/>
      </rPr>
      <t xml:space="preserve"> 20%</t>
    </r>
    <r>
      <rPr>
        <sz val="11"/>
        <color theme="1"/>
        <rFont val="Calibri"/>
      </rPr>
      <t xml:space="preserve"> del precio)</t>
    </r>
  </si>
  <si>
    <r>
      <rPr>
        <b/>
        <sz val="11"/>
        <color theme="1"/>
        <rFont val="Calibri"/>
      </rPr>
      <t xml:space="preserve">PROMOCION 24D (Bono pie 10%) Y 36D (Bono Pie 15%)(sujeto a valor tasación bco) </t>
    </r>
    <r>
      <rPr>
        <b/>
        <sz val="11"/>
        <color rgb="FFFF0000"/>
        <rFont val="Calibri"/>
      </rPr>
      <t>(24D CUESTA 10% DESCTO, 36D CUESTA 15%)</t>
    </r>
  </si>
  <si>
    <t>1,5D+1B+K</t>
  </si>
  <si>
    <t>2D+1B+K</t>
  </si>
  <si>
    <t>ULTIMOS 2 DEPTOS DISPONIBLES DE 1D</t>
  </si>
  <si>
    <t>2D+2B+K</t>
  </si>
  <si>
    <t>2S+2B+K</t>
  </si>
  <si>
    <t>2,5D+2B+K</t>
  </si>
  <si>
    <r>
      <rPr>
        <b/>
        <sz val="11"/>
        <color theme="1"/>
        <rFont val="Calibri"/>
      </rPr>
      <t>GARDEN MACUL,</t>
    </r>
    <r>
      <rPr>
        <sz val="11"/>
        <color theme="1"/>
        <rFont val="Calibri"/>
      </rPr>
      <t xml:space="preserve"> Macul </t>
    </r>
    <r>
      <rPr>
        <b/>
        <sz val="11"/>
        <color theme="1"/>
        <rFont val="Calibri"/>
      </rPr>
      <t>(SANTOLAYA)</t>
    </r>
  </si>
  <si>
    <t>GQ</t>
  </si>
  <si>
    <t>1D + 1B</t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</si>
  <si>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 xml:space="preserve">cuotas doc / ó </t>
    </r>
    <r>
      <rPr>
        <b/>
        <sz val="11"/>
        <color theme="1"/>
        <rFont val="Calibri"/>
      </rPr>
      <t xml:space="preserve">18 </t>
    </r>
    <r>
      <rPr>
        <sz val="11"/>
        <color theme="1"/>
        <rFont val="Calibri"/>
      </rPr>
      <t>cuotas sin interés tarjeta crédito (</t>
    </r>
    <r>
      <rPr>
        <b/>
        <sz val="11"/>
        <color theme="1"/>
        <rFont val="Calibri"/>
      </rPr>
      <t>máx 20% del precio)</t>
    </r>
  </si>
  <si>
    <t>DEPTOS AGOTADOS, 4 ESTAC DISPONIBLES</t>
  </si>
  <si>
    <r>
      <rPr>
        <b/>
        <sz val="11"/>
        <color theme="1"/>
        <rFont val="Calibri"/>
      </rPr>
      <t xml:space="preserve">OFERTA ESTAC TANDEM, ULTIMO : N°63-64  </t>
    </r>
    <r>
      <rPr>
        <b/>
        <sz val="11"/>
        <color rgb="FFFF0000"/>
        <rFont val="Calibri"/>
      </rPr>
      <t xml:space="preserve">UF400 </t>
    </r>
    <r>
      <rPr>
        <b/>
        <sz val="11"/>
        <color theme="1"/>
        <rFont val="Calibri"/>
      </rPr>
      <t>(</t>
    </r>
    <r>
      <rPr>
        <b/>
        <sz val="11"/>
        <color rgb="FFFF0000"/>
        <rFont val="Calibri"/>
      </rPr>
      <t>75% DESCTO 2DA UNIDAD!!</t>
    </r>
    <r>
      <rPr>
        <b/>
        <sz val="11"/>
        <color theme="1"/>
        <rFont val="Calibri"/>
      </rPr>
      <t xml:space="preserve">) </t>
    </r>
  </si>
  <si>
    <t>3D 2D KA</t>
  </si>
  <si>
    <r>
      <rPr>
        <b/>
        <sz val="11"/>
        <color theme="1"/>
        <rFont val="Calibri"/>
      </rPr>
      <t>CIUDAD BUZETA</t>
    </r>
    <r>
      <rPr>
        <sz val="11"/>
        <color theme="1"/>
        <rFont val="Calibri"/>
      </rPr>
      <t xml:space="preserve">, Cerrillos </t>
    </r>
    <r>
      <rPr>
        <b/>
        <sz val="11"/>
        <color theme="1"/>
        <rFont val="Calibri"/>
      </rPr>
      <t>(DEISA)</t>
    </r>
  </si>
  <si>
    <r>
      <rPr>
        <b/>
        <sz val="11"/>
        <color theme="1"/>
        <rFont val="Calibri"/>
      </rPr>
      <t>1 a 3</t>
    </r>
    <r>
      <rPr>
        <sz val="11"/>
        <color theme="1"/>
        <rFont val="Calibri"/>
      </rPr>
      <t xml:space="preserve"> cuotas doc / ó</t>
    </r>
    <r>
      <rPr>
        <b/>
        <sz val="11"/>
        <color theme="1"/>
        <rFont val="Calibri"/>
      </rPr>
      <t xml:space="preserve"> 18</t>
    </r>
    <r>
      <rPr>
        <sz val="11"/>
        <color theme="1"/>
        <rFont val="Calibri"/>
      </rPr>
      <t xml:space="preserve"> cuotas sin interés tarejta crédito (</t>
    </r>
    <r>
      <rPr>
        <b/>
        <sz val="11"/>
        <color theme="1"/>
        <rFont val="Calibri"/>
      </rPr>
      <t xml:space="preserve">max 20% del precio)  </t>
    </r>
  </si>
  <si>
    <t>PROMOCION HASTA 20% BONO PIE (SUJETO A UNIDADES SELECCIONADAS, CONDULTAR JV)</t>
  </si>
  <si>
    <r>
      <rPr>
        <b/>
        <sz val="11"/>
        <color theme="1"/>
        <rFont val="Calibri"/>
      </rPr>
      <t>ULTIMO DEPTO DISP:</t>
    </r>
    <r>
      <rPr>
        <b/>
        <sz val="11"/>
        <color rgb="FF00B050"/>
        <rFont val="Calibri"/>
      </rPr>
      <t xml:space="preserve"> 201</t>
    </r>
  </si>
  <si>
    <r>
      <rPr>
        <b/>
        <sz val="11"/>
        <color theme="1"/>
        <rFont val="Calibri"/>
      </rPr>
      <t>SUEÑA LINCOYAN</t>
    </r>
    <r>
      <rPr>
        <sz val="11"/>
        <color theme="1"/>
        <rFont val="Calibri"/>
      </rPr>
      <t xml:space="preserve">, Ñuñoa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</si>
  <si>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>1 a 3 cuotas</t>
    </r>
    <r>
      <rPr>
        <sz val="11"/>
        <color theme="1"/>
        <rFont val="Calibri"/>
      </rPr>
      <t xml:space="preserve">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crédito </t>
    </r>
    <r>
      <rPr>
        <b/>
        <sz val="11"/>
        <color theme="1"/>
        <rFont val="Calibri"/>
      </rPr>
      <t>(máx 20% del precio)</t>
    </r>
  </si>
  <si>
    <r>
      <rPr>
        <b/>
        <sz val="11"/>
        <color theme="1"/>
        <rFont val="Calibri"/>
      </rPr>
      <t xml:space="preserve">PROMOCION 24D </t>
    </r>
    <r>
      <rPr>
        <b/>
        <sz val="11"/>
        <color rgb="FFFF0000"/>
        <rFont val="Calibri"/>
      </rPr>
      <t xml:space="preserve"> (10% de bono pie)</t>
    </r>
  </si>
  <si>
    <t>2 AÑOS ARRIENDO GARANTIZADO -resta 2,5% descto</t>
  </si>
  <si>
    <r>
      <rPr>
        <b/>
        <sz val="11"/>
        <color theme="1"/>
        <rFont val="Calibri"/>
      </rPr>
      <t xml:space="preserve">SUEÑA TOESCA, </t>
    </r>
    <r>
      <rPr>
        <sz val="11"/>
        <color theme="1"/>
        <rFont val="Calibri"/>
      </rPr>
      <t xml:space="preserve">Stgo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</si>
  <si>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>1 a 3 cuotas</t>
    </r>
    <r>
      <rPr>
        <sz val="11"/>
        <color theme="1"/>
        <rFont val="Calibri"/>
      </rPr>
      <t xml:space="preserve"> 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crédito (máx </t>
    </r>
    <r>
      <rPr>
        <b/>
        <sz val="11"/>
        <color theme="1"/>
        <rFont val="Calibri"/>
      </rPr>
      <t>20%</t>
    </r>
    <r>
      <rPr>
        <sz val="11"/>
        <color theme="1"/>
        <rFont val="Calibri"/>
      </rPr>
      <t xml:space="preserve"> del precio)</t>
    </r>
  </si>
  <si>
    <r>
      <rPr>
        <b/>
        <sz val="11"/>
        <color theme="1"/>
        <rFont val="Calibri"/>
      </rPr>
      <t xml:space="preserve">PROMOCION 24D ( 10% de bono pie ) hasta 48D ( 20% de bono pie) (APLICA PARA UNID SEGÚN TASACION)  </t>
    </r>
    <r>
      <rPr>
        <b/>
        <sz val="11"/>
        <color rgb="FFFF0000"/>
        <rFont val="Calibri"/>
      </rPr>
      <t>(24D CUESTA 10% DESCTO - 48D CUESTA 20% DESCTO)</t>
    </r>
  </si>
  <si>
    <t>1,5D / 1B</t>
  </si>
  <si>
    <t>2D / 1B</t>
  </si>
  <si>
    <t>PLAN MAS CUOTAS: HASTA 5% EN 12 DOCUMENTADAS CON PAGARÉ POST ESCRITURA</t>
  </si>
  <si>
    <t>2D/2B KA Grande</t>
  </si>
  <si>
    <r>
      <rPr>
        <b/>
        <sz val="11"/>
        <color theme="1"/>
        <rFont val="Calibri"/>
      </rPr>
      <t xml:space="preserve">NEO FLORIDA III. </t>
    </r>
    <r>
      <rPr>
        <sz val="11"/>
        <color theme="1"/>
        <rFont val="Calibri"/>
      </rPr>
      <t xml:space="preserve">La florida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</si>
  <si>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>1 a 3 cuotas</t>
    </r>
    <r>
      <rPr>
        <sz val="11"/>
        <color theme="1"/>
        <rFont val="Calibri"/>
      </rPr>
      <t xml:space="preserve">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crédito </t>
    </r>
    <r>
      <rPr>
        <b/>
        <sz val="11"/>
        <color theme="1"/>
        <rFont val="Calibri"/>
      </rPr>
      <t>(máx 20% del precio)</t>
    </r>
  </si>
  <si>
    <t xml:space="preserve">PROMOCION 24D( 10% de bono pie) Y 36D (15% de bono pie) (sujeto a valor tasación bco) </t>
  </si>
  <si>
    <t>3D/2B</t>
  </si>
  <si>
    <r>
      <rPr>
        <b/>
        <sz val="11"/>
        <color theme="1"/>
        <rFont val="Calibri"/>
      </rPr>
      <t>CIUDAD LYON</t>
    </r>
    <r>
      <rPr>
        <sz val="11"/>
        <color theme="1"/>
        <rFont val="Calibri"/>
      </rPr>
      <t>, Providencia</t>
    </r>
    <r>
      <rPr>
        <b/>
        <sz val="11"/>
        <color theme="1"/>
        <rFont val="Calibri"/>
      </rPr>
      <t xml:space="preserve"> (DEISA)</t>
    </r>
  </si>
  <si>
    <r>
      <rPr>
        <sz val="11"/>
        <color theme="1"/>
        <rFont val="Calibri"/>
      </rPr>
      <t xml:space="preserve">1 cuotas /ó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crédito (máx </t>
    </r>
    <r>
      <rPr>
        <b/>
        <sz val="11"/>
        <color theme="1"/>
        <rFont val="Calibri"/>
      </rPr>
      <t>20%</t>
    </r>
    <r>
      <rPr>
        <sz val="11"/>
        <color theme="1"/>
        <rFont val="Calibri"/>
      </rPr>
      <t xml:space="preserve"> del precio)</t>
    </r>
  </si>
  <si>
    <t>PROMOCION 12D (5% de bono pie)</t>
  </si>
  <si>
    <t>PLAN ESPECIAL PIE 7,5% CONTRA PROMESA - 7,5 CONTRA ESCRITURA 18 C/TC + 5% 12D + 80% CH</t>
  </si>
  <si>
    <t>AZOTEAS</t>
  </si>
  <si>
    <r>
      <rPr>
        <b/>
        <sz val="11"/>
        <color theme="1"/>
        <rFont val="Calibri"/>
      </rPr>
      <t>OPORTUNIDAD: ULTIMA</t>
    </r>
    <r>
      <rPr>
        <b/>
        <sz val="11"/>
        <color rgb="FFED0000"/>
        <rFont val="Calibri"/>
      </rPr>
      <t xml:space="preserve"> AZOTEA UF990</t>
    </r>
  </si>
  <si>
    <r>
      <rPr>
        <b/>
        <sz val="11"/>
        <color theme="1"/>
        <rFont val="Calibri"/>
      </rPr>
      <t xml:space="preserve">OPORTUNIDAD </t>
    </r>
    <r>
      <rPr>
        <b/>
        <sz val="11"/>
        <color rgb="FFED0000"/>
        <rFont val="Calibri"/>
      </rPr>
      <t>BX TANDEM UF550</t>
    </r>
  </si>
  <si>
    <t>DESCTOS MAX DIFERENCIADOS SEGÚN PROMOCIONES:</t>
  </si>
  <si>
    <r>
      <rPr>
        <b/>
        <sz val="12"/>
        <color rgb="FFFF0000"/>
        <rFont val="Calibri"/>
      </rPr>
      <t>15%</t>
    </r>
    <r>
      <rPr>
        <b/>
        <sz val="12"/>
        <color theme="1"/>
        <rFont val="Calibri"/>
      </rPr>
      <t>: FULL DESCTO SIN PROMOCIONES</t>
    </r>
  </si>
  <si>
    <r>
      <rPr>
        <b/>
        <sz val="12"/>
        <color rgb="FFFF0000"/>
        <rFont val="Calibri"/>
      </rPr>
      <t>13,6%:</t>
    </r>
    <r>
      <rPr>
        <b/>
        <sz val="12"/>
        <color theme="1"/>
        <rFont val="Calibri"/>
      </rPr>
      <t xml:space="preserve"> INCLUYE BONO AMOBLADO - 1D UF90 // 2D UF120</t>
    </r>
  </si>
  <si>
    <r>
      <rPr>
        <b/>
        <sz val="12"/>
        <color rgb="FFFF0000"/>
        <rFont val="Calibri"/>
      </rPr>
      <t>10,5%</t>
    </r>
    <r>
      <rPr>
        <b/>
        <sz val="12"/>
        <color theme="1"/>
        <rFont val="Calibri"/>
      </rPr>
      <t>: INCLUYE 12D, SIN BONO AMOBLADO</t>
    </r>
  </si>
  <si>
    <r>
      <rPr>
        <b/>
        <sz val="12"/>
        <color rgb="FFFF0000"/>
        <rFont val="Calibri"/>
      </rPr>
      <t>9%</t>
    </r>
    <r>
      <rPr>
        <b/>
        <sz val="12"/>
        <color theme="1"/>
        <rFont val="Calibri"/>
      </rPr>
      <t>: INCLUYE 12D Y CON BONO AMOBLADO</t>
    </r>
  </si>
  <si>
    <r>
      <rPr>
        <b/>
        <sz val="11"/>
        <color theme="1"/>
        <rFont val="Calibri"/>
      </rPr>
      <t xml:space="preserve">NS 440, </t>
    </r>
    <r>
      <rPr>
        <sz val="11"/>
        <color theme="1"/>
        <rFont val="Calibri"/>
      </rPr>
      <t xml:space="preserve">Providencia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</si>
  <si>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 xml:space="preserve">1 </t>
    </r>
    <r>
      <rPr>
        <sz val="11"/>
        <color theme="1"/>
        <rFont val="Calibri"/>
      </rPr>
      <t xml:space="preserve">cuota /ó </t>
    </r>
    <r>
      <rPr>
        <b/>
        <sz val="11"/>
        <color theme="1"/>
        <rFont val="Calibri"/>
      </rPr>
      <t xml:space="preserve">18 </t>
    </r>
    <r>
      <rPr>
        <sz val="11"/>
        <color theme="1"/>
        <rFont val="Calibri"/>
      </rPr>
      <t>cuotas sin interés tarjeta crédito (máx 20% del precio)</t>
    </r>
  </si>
  <si>
    <t>2D/2B + SE</t>
  </si>
  <si>
    <t>3D/3B</t>
  </si>
  <si>
    <t>2D con azotea</t>
  </si>
  <si>
    <t>3D con azotea</t>
  </si>
  <si>
    <r>
      <rPr>
        <b/>
        <sz val="11"/>
        <color theme="1"/>
        <rFont val="Calibri"/>
      </rPr>
      <t>CIUDAD CERRILLOS,</t>
    </r>
    <r>
      <rPr>
        <sz val="11"/>
        <color theme="1"/>
        <rFont val="Calibri"/>
      </rPr>
      <t xml:space="preserve"> Cerrillos  </t>
    </r>
    <r>
      <rPr>
        <b/>
        <sz val="11"/>
        <color theme="1"/>
        <rFont val="Calibri"/>
      </rPr>
      <t>(DEISA)</t>
    </r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</si>
  <si>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>cuotas</t>
    </r>
    <r>
      <rPr>
        <b/>
        <sz val="11"/>
        <color theme="1"/>
        <rFont val="Calibri"/>
      </rPr>
      <t xml:space="preserve"> TOKU</t>
    </r>
    <r>
      <rPr>
        <sz val="11"/>
        <color theme="1"/>
        <rFont val="Calibri"/>
      </rPr>
      <t xml:space="preserve"> / ó</t>
    </r>
    <r>
      <rPr>
        <b/>
        <sz val="11"/>
        <color theme="1"/>
        <rFont val="Calibri"/>
      </rPr>
      <t xml:space="preserve"> 24</t>
    </r>
    <r>
      <rPr>
        <sz val="11"/>
        <color theme="1"/>
        <rFont val="Calibri"/>
      </rPr>
      <t xml:space="preserve"> cuotas sin interés tarejta crédito (</t>
    </r>
    <r>
      <rPr>
        <b/>
        <sz val="11"/>
        <color theme="1"/>
        <rFont val="Calibri"/>
      </rPr>
      <t xml:space="preserve">max 20% del precio)  </t>
    </r>
  </si>
  <si>
    <r>
      <rPr>
        <b/>
        <sz val="11"/>
        <color theme="1"/>
        <rFont val="Calibri"/>
      </rPr>
      <t xml:space="preserve">PROMOCION </t>
    </r>
    <r>
      <rPr>
        <b/>
        <sz val="11"/>
        <color theme="1"/>
        <rFont val="Calibri"/>
      </rPr>
      <t>24D (10% de bono pie)</t>
    </r>
  </si>
  <si>
    <r>
      <rPr>
        <b/>
        <sz val="11"/>
        <color theme="1"/>
        <rFont val="Calibri"/>
      </rPr>
      <t xml:space="preserve">PLAN ESPECIAL PIE EN </t>
    </r>
    <r>
      <rPr>
        <b/>
        <sz val="11"/>
        <color rgb="FFED0000"/>
        <rFont val="Calibri"/>
      </rPr>
      <t>HASTA</t>
    </r>
    <r>
      <rPr>
        <b/>
        <sz val="11"/>
        <color rgb="FFFF0000"/>
        <rFont val="Calibri"/>
      </rPr>
      <t xml:space="preserve"> 27</t>
    </r>
    <r>
      <rPr>
        <b/>
        <sz val="11"/>
        <color theme="1"/>
        <rFont val="Calibri"/>
      </rPr>
      <t xml:space="preserve"> CUOTAS: 2% CP + 1,5% EN HASTA 3 CUOTAS TOKU  + CUOTON 6,5% EN 24 C/TC</t>
    </r>
  </si>
  <si>
    <t>1,5D+2B+K</t>
  </si>
  <si>
    <r>
      <rPr>
        <b/>
        <sz val="11"/>
        <color theme="1"/>
        <rFont val="Calibri"/>
      </rPr>
      <t xml:space="preserve">SIN ARRIENDO GARANTIZADO </t>
    </r>
    <r>
      <rPr>
        <b/>
        <sz val="11"/>
        <color rgb="FFED0000"/>
        <rFont val="Calibri"/>
      </rPr>
      <t>2% DESCTO ADIC</t>
    </r>
  </si>
  <si>
    <r>
      <rPr>
        <b/>
        <sz val="11"/>
        <color rgb="FFFF0000"/>
        <rFont val="Calibri"/>
      </rPr>
      <t xml:space="preserve">ARRIENDO GARANTIZADO </t>
    </r>
    <r>
      <rPr>
        <b/>
        <sz val="11"/>
        <color theme="1"/>
        <rFont val="Calibri"/>
      </rPr>
      <t>2</t>
    </r>
    <r>
      <rPr>
        <b/>
        <sz val="11"/>
        <color rgb="FFFF0000"/>
        <rFont val="Calibri"/>
      </rPr>
      <t xml:space="preserve"> AÑOS SOBRE MERCADO</t>
    </r>
    <r>
      <rPr>
        <b/>
        <sz val="11"/>
        <color theme="1"/>
        <rFont val="Calibri"/>
      </rPr>
      <t xml:space="preserve"> (REVISAR VALORES QUE APLICAN) </t>
    </r>
  </si>
  <si>
    <r>
      <rPr>
        <b/>
        <sz val="11"/>
        <color theme="1"/>
        <rFont val="Calibri"/>
      </rPr>
      <t>MARCA SANTIAGO</t>
    </r>
    <r>
      <rPr>
        <sz val="11"/>
        <color theme="1"/>
        <rFont val="Calibri"/>
      </rPr>
      <t xml:space="preserve">, Stgo </t>
    </r>
    <r>
      <rPr>
        <b/>
        <sz val="11"/>
        <color theme="1"/>
        <rFont val="Calibri"/>
      </rPr>
      <t>(IKLP - DEISA)</t>
    </r>
  </si>
  <si>
    <r>
      <rPr>
        <b/>
        <sz val="11"/>
        <color theme="1"/>
        <rFont val="Calibri"/>
      </rPr>
      <t xml:space="preserve">1 a 3 cuotas TOKU / </t>
    </r>
    <r>
      <rPr>
        <sz val="11"/>
        <color theme="1"/>
        <rFont val="Calibri"/>
      </rPr>
      <t>ó</t>
    </r>
    <r>
      <rPr>
        <b/>
        <sz val="11"/>
        <color theme="1"/>
        <rFont val="Calibri"/>
      </rPr>
      <t xml:space="preserve"> 24</t>
    </r>
    <r>
      <rPr>
        <sz val="11"/>
        <color theme="1"/>
        <rFont val="Calibri"/>
      </rPr>
      <t xml:space="preserve"> cuotas sin interés tarjeta crédito</t>
    </r>
    <r>
      <rPr>
        <b/>
        <sz val="11"/>
        <color theme="1"/>
        <rFont val="Calibri"/>
      </rPr>
      <t xml:space="preserve"> GETNET (max 20% del precio)  </t>
    </r>
  </si>
  <si>
    <t>PROMOCION 24D (10% de bono pie)</t>
  </si>
  <si>
    <r>
      <rPr>
        <b/>
        <sz val="11"/>
        <color theme="1"/>
        <rFont val="Calibri"/>
      </rPr>
      <t xml:space="preserve">PLAN ESPECIAL PIE EN </t>
    </r>
    <r>
      <rPr>
        <b/>
        <sz val="11"/>
        <color rgb="FFED0000"/>
        <rFont val="Calibri"/>
      </rPr>
      <t>HASTA</t>
    </r>
    <r>
      <rPr>
        <b/>
        <sz val="11"/>
        <color rgb="FFFF0000"/>
        <rFont val="Calibri"/>
      </rPr>
      <t xml:space="preserve"> 27</t>
    </r>
    <r>
      <rPr>
        <b/>
        <sz val="11"/>
        <color theme="1"/>
        <rFont val="Calibri"/>
      </rPr>
      <t xml:space="preserve"> CUOTAS: 2% CP + 1,5% EN HASTA 3 CUOTAS TOKU  + CUOTON 6,5% EN 24 C/TC</t>
    </r>
  </si>
  <si>
    <t>1,5D/ 1B</t>
  </si>
  <si>
    <r>
      <rPr>
        <b/>
        <sz val="11"/>
        <color theme="1"/>
        <rFont val="Calibri"/>
      </rPr>
      <t xml:space="preserve">SI NO HAY ARRIENDO GARANTIZADO </t>
    </r>
    <r>
      <rPr>
        <b/>
        <sz val="14"/>
        <color theme="1"/>
        <rFont val="Calibri"/>
      </rPr>
      <t>MAX  DESCTO</t>
    </r>
    <r>
      <rPr>
        <sz val="14"/>
        <color theme="1"/>
        <rFont val="Calibri"/>
      </rPr>
      <t xml:space="preserve"> </t>
    </r>
    <r>
      <rPr>
        <b/>
        <sz val="14"/>
        <color rgb="FFFF3300"/>
        <rFont val="Calibri"/>
      </rPr>
      <t>18%)</t>
    </r>
  </si>
  <si>
    <r>
      <rPr>
        <b/>
        <sz val="11"/>
        <color rgb="FFFF0000"/>
        <rFont val="Calibri"/>
      </rPr>
      <t>ARRIENDO GARANTIZADO SOBRE MERCADO</t>
    </r>
    <r>
      <rPr>
        <b/>
        <sz val="11"/>
        <color theme="1"/>
        <rFont val="Calibri"/>
      </rPr>
      <t xml:space="preserve"> INCLUIDO EN DESCTO MAX 16,36% (REVISAR CONDICIONES DE</t>
    </r>
    <r>
      <rPr>
        <b/>
        <sz val="11"/>
        <color rgb="FFFF0000"/>
        <rFont val="Calibri"/>
      </rPr>
      <t xml:space="preserve"> VALORES DE ARRIENDO)</t>
    </r>
  </si>
  <si>
    <r>
      <rPr>
        <b/>
        <sz val="11"/>
        <color theme="1"/>
        <rFont val="Calibri"/>
      </rPr>
      <t>BARRIO CUETO</t>
    </r>
    <r>
      <rPr>
        <sz val="11"/>
        <color theme="1"/>
        <rFont val="Calibri"/>
      </rPr>
      <t xml:space="preserve">, Stgo </t>
    </r>
    <r>
      <rPr>
        <b/>
        <sz val="11"/>
        <color theme="1"/>
        <rFont val="Calibri"/>
      </rPr>
      <t>(ORMUZ)</t>
    </r>
  </si>
  <si>
    <t>PROXIMA ENTREGA</t>
  </si>
  <si>
    <t>Desde 2%</t>
  </si>
  <si>
    <t>1era cuota</t>
  </si>
  <si>
    <t>BONO PIE 10% - ASOCIADO A FIRMA PAGARÉ</t>
  </si>
  <si>
    <t xml:space="preserve">PLAN ESPECIAL PIE EN 39 CUOTAS: 2% en 3 CUOTAS TOKU + 8% en 36 CUOTAS C/TC A LA ESCRITURA  + 10% 24D + 80% CREDITO 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</si>
  <si>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cuotas </t>
    </r>
    <r>
      <rPr>
        <b/>
        <sz val="11"/>
        <color theme="1"/>
        <rFont val="Calibri"/>
      </rPr>
      <t>TOKU /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 xml:space="preserve">36 </t>
    </r>
    <r>
      <rPr>
        <sz val="11"/>
        <color theme="1"/>
        <rFont val="Calibri"/>
      </rPr>
      <t>cuotas sin interés tarjeta crédito (máx</t>
    </r>
    <r>
      <rPr>
        <b/>
        <sz val="11"/>
        <color theme="1"/>
        <rFont val="Calibri"/>
      </rPr>
      <t xml:space="preserve"> 20%</t>
    </r>
    <r>
      <rPr>
        <sz val="11"/>
        <color theme="1"/>
        <rFont val="Calibri"/>
      </rPr>
      <t xml:space="preserve"> del precio)(GETNET)</t>
    </r>
  </si>
  <si>
    <t>2 CUPOS ESTAC PARA DPTO. 1,5D1B</t>
  </si>
  <si>
    <r>
      <rPr>
        <b/>
        <sz val="11"/>
        <color theme="1"/>
        <rFont val="Calibri"/>
      </rPr>
      <t xml:space="preserve">2 AÑOS ARRIENDO GARANTIZADO 1D Y 2D </t>
    </r>
    <r>
      <rPr>
        <b/>
        <sz val="11"/>
        <color rgb="FFFF0000"/>
        <rFont val="Calibri"/>
      </rPr>
      <t>S</t>
    </r>
    <r>
      <rPr>
        <b/>
        <sz val="11"/>
        <color rgb="FFED0000"/>
        <rFont val="Calibri"/>
      </rPr>
      <t xml:space="preserve">OBRE MERCADO INCUIDO EN EL PRECIO </t>
    </r>
  </si>
  <si>
    <t>SI NO HAY ARRIENDO GARANTIZADO SE PUEDE DAR 4% DESC ADIC</t>
  </si>
  <si>
    <r>
      <rPr>
        <b/>
        <sz val="11"/>
        <color theme="1"/>
        <rFont val="Calibri"/>
      </rPr>
      <t xml:space="preserve">SUEÑA LIRA, </t>
    </r>
    <r>
      <rPr>
        <sz val="11"/>
        <color theme="1"/>
        <rFont val="Calibri"/>
      </rPr>
      <t>Santiago</t>
    </r>
    <r>
      <rPr>
        <b/>
        <sz val="11"/>
        <color theme="1"/>
        <rFont val="Calibri"/>
      </rPr>
      <t xml:space="preserve"> (SANTOLAYA)</t>
    </r>
  </si>
  <si>
    <t>Futura</t>
  </si>
  <si>
    <t>Desde 7%</t>
  </si>
  <si>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cuotas TOKU / ó </t>
    </r>
    <r>
      <rPr>
        <b/>
        <sz val="11"/>
        <color theme="1"/>
        <rFont val="Calibri"/>
      </rPr>
      <t xml:space="preserve">18 </t>
    </r>
    <r>
      <rPr>
        <sz val="11"/>
        <color theme="1"/>
        <rFont val="Calibri"/>
      </rPr>
      <t xml:space="preserve">cuotas sin interés tarejta crédito (max 20% del precio)  </t>
    </r>
  </si>
  <si>
    <t>PROMOCION 24D  (10% de bono pie)</t>
  </si>
  <si>
    <t>PLAN ESPECIAL PIE EN 33 CUOTAS: 7% EN 15 CUOTAS CON TOKU + 3% CUOTON CON 18 C/TC A LA ESCRITURA + 10% 24D + 80% CREDITO</t>
  </si>
  <si>
    <r>
      <rPr>
        <b/>
        <sz val="11"/>
        <color theme="1"/>
        <rFont val="Calibri"/>
      </rPr>
      <t xml:space="preserve">SEMINARIO 775, </t>
    </r>
    <r>
      <rPr>
        <sz val="11"/>
        <color theme="1"/>
        <rFont val="Calibri"/>
      </rPr>
      <t>Ñuñoa</t>
    </r>
    <r>
      <rPr>
        <b/>
        <sz val="11"/>
        <color theme="1"/>
        <rFont val="Calibri"/>
      </rPr>
      <t xml:space="preserve"> (SANTOLAYA)</t>
    </r>
  </si>
  <si>
    <t>Desde 8%</t>
  </si>
  <si>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TOKU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tarejta crédito (max 20% del precio)  </t>
    </r>
  </si>
  <si>
    <t>PROMOCION 24 DIVIDENDOS (10% de bono pie)</t>
  </si>
  <si>
    <t>PLAN ESPECIAL PIE EN HASTA 36 CUOTAS: LAS PRIMERAS 18 CUOTAS 8% CON TOKU + 18 C/TC 2% A LA ESCRITURA  + 10% 24D + 80% CH</t>
  </si>
  <si>
    <t>Oficinas</t>
  </si>
  <si>
    <t>PLAN PAGO PIE OFIC: 15% EN CUOTAS - 10% C/E  - 75% Cfines Grales // TODA POSIBLE EXCEPCION DEBE SER LEVANTADA</t>
  </si>
  <si>
    <t xml:space="preserve">Locales </t>
  </si>
  <si>
    <r>
      <rPr>
        <b/>
        <sz val="11"/>
        <color theme="1"/>
        <rFont val="Calibri"/>
      </rPr>
      <t>WALKER MARTINEZ 880</t>
    </r>
    <r>
      <rPr>
        <sz val="11"/>
        <color theme="1"/>
        <rFont val="Calibri"/>
      </rPr>
      <t>,   La Florida</t>
    </r>
    <r>
      <rPr>
        <b/>
        <sz val="11"/>
        <color theme="1"/>
        <rFont val="Calibri"/>
      </rPr>
      <t xml:space="preserve"> (SANTOLAYA)</t>
    </r>
  </si>
  <si>
    <t>4to TRIMESTRE 2027</t>
  </si>
  <si>
    <r>
      <rPr>
        <b/>
        <sz val="11"/>
        <color theme="1"/>
        <rFont val="Calibri"/>
      </rPr>
      <t xml:space="preserve">21 </t>
    </r>
    <r>
      <rPr>
        <sz val="11"/>
        <color theme="1"/>
        <rFont val="Calibri"/>
      </rPr>
      <t xml:space="preserve">cuotas TOKU / ó </t>
    </r>
    <r>
      <rPr>
        <b/>
        <sz val="11"/>
        <color theme="1"/>
        <rFont val="Calibri"/>
      </rPr>
      <t xml:space="preserve">18 </t>
    </r>
    <r>
      <rPr>
        <sz val="11"/>
        <color theme="1"/>
        <rFont val="Calibri"/>
      </rPr>
      <t xml:space="preserve">cuotas sin interés tarejta crédito (max 20% del precio)  </t>
    </r>
  </si>
  <si>
    <r>
      <rPr>
        <b/>
        <sz val="11"/>
        <color theme="1"/>
        <rFont val="Calibri"/>
      </rPr>
      <t xml:space="preserve">PROMOCION 24 DIVIDENDOS (10% de bono pie) - </t>
    </r>
    <r>
      <rPr>
        <b/>
        <sz val="11"/>
        <color rgb="FFFF0000"/>
        <rFont val="Calibri"/>
      </rPr>
      <t>SOLO DEPTOS 1,5 Y 2D</t>
    </r>
  </si>
  <si>
    <t>PLAN ESPECIAL PIE EN HASTA 39 CUOTAS - LAS PRIMERAS 21 CUOTAS 7% CON TOKU + 18 C/TC 3% A LA ESCRITURA  + 10% 24D + 80% CREDITO</t>
  </si>
  <si>
    <t>1,5D/2B 1S</t>
  </si>
  <si>
    <r>
      <rPr>
        <b/>
        <sz val="11"/>
        <color rgb="FFFF0000"/>
        <rFont val="Calibri"/>
      </rPr>
      <t>DEPTOS 1D</t>
    </r>
    <r>
      <rPr>
        <b/>
        <sz val="11"/>
        <color theme="1"/>
        <rFont val="Calibri"/>
      </rPr>
      <t xml:space="preserve"> 15% PIE EN 21 CUOTAS TOKU + 5% A LA ESCRITURA C/TC + 80% CREDITO</t>
    </r>
  </si>
  <si>
    <r>
      <rPr>
        <b/>
        <sz val="11"/>
        <color theme="1"/>
        <rFont val="Calibri"/>
      </rPr>
      <t>TODOS LOS DEPTOS CON AZOTEA USO Y GOCE EXCLUSIVO,</t>
    </r>
    <r>
      <rPr>
        <b/>
        <sz val="11"/>
        <color rgb="FFFF0000"/>
        <rFont val="Calibri"/>
      </rPr>
      <t xml:space="preserve"> 17% DESCTO</t>
    </r>
  </si>
  <si>
    <t>ok</t>
  </si>
  <si>
    <t>2D/2B 2S KI</t>
  </si>
  <si>
    <t>2D/2B 2S KI TS (azotea)</t>
  </si>
  <si>
    <t>2D/2B 2S TS  (azotea)</t>
  </si>
  <si>
    <t>1,5D/1B TS (azotea)</t>
  </si>
  <si>
    <t>2D/2B 1S TS (azotea)</t>
  </si>
  <si>
    <t>1,5D/2B 1S TS (azotea)</t>
  </si>
  <si>
    <r>
      <rPr>
        <b/>
        <sz val="11"/>
        <color theme="1"/>
        <rFont val="Calibri"/>
      </rPr>
      <t xml:space="preserve">NODO LA CISTERNA,  </t>
    </r>
    <r>
      <rPr>
        <sz val="11"/>
        <color theme="1"/>
        <rFont val="Calibri"/>
      </rPr>
      <t xml:space="preserve">La Cisterna </t>
    </r>
    <r>
      <rPr>
        <b/>
        <sz val="11"/>
        <color theme="1"/>
        <rFont val="Calibri"/>
      </rPr>
      <t>(DEISA)</t>
    </r>
  </si>
  <si>
    <t>4to Trimestre 2027</t>
  </si>
  <si>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cuotas TOKU</t>
    </r>
    <r>
      <rPr>
        <b/>
        <sz val="11"/>
        <color theme="1"/>
        <rFont val="Calibri"/>
      </rPr>
      <t xml:space="preserve"> </t>
    </r>
    <r>
      <rPr>
        <sz val="11"/>
        <color theme="1"/>
        <rFont val="Calibri"/>
      </rPr>
      <t>/ ó</t>
    </r>
    <r>
      <rPr>
        <b/>
        <sz val="11"/>
        <color theme="1"/>
        <rFont val="Calibri"/>
      </rPr>
      <t xml:space="preserve"> 18 </t>
    </r>
    <r>
      <rPr>
        <sz val="11"/>
        <color theme="1"/>
        <rFont val="Calibri"/>
      </rPr>
      <t xml:space="preserve">cuotas sin interés tarejta crédito (max 20% del precio)  </t>
    </r>
  </si>
  <si>
    <t>PLAN ESPECIAL PIE EN HASTA 40 CUOTAS: LAS PRIMERAS 22 CUOTAS 7% CON TOKU + 18 C/TC  3% A LA ESCRITURA  + 10% 24D + 80% CH</t>
  </si>
  <si>
    <t>PROMOCIÓN 1 AÑO DE GASTOS COMUNES GRATIS - NO RESTA DESCTO - REVISAR VALORES QUE APLICAN</t>
  </si>
  <si>
    <r>
      <rPr>
        <b/>
        <sz val="11"/>
        <color rgb="FFFF0000"/>
        <rFont val="Calibri"/>
      </rPr>
      <t xml:space="preserve">ARRIENDO GARANTIZADO </t>
    </r>
    <r>
      <rPr>
        <b/>
        <sz val="11"/>
        <color theme="1"/>
        <rFont val="Calibri"/>
      </rPr>
      <t>2</t>
    </r>
    <r>
      <rPr>
        <b/>
        <sz val="11"/>
        <color rgb="FFFF0000"/>
        <rFont val="Calibri"/>
      </rPr>
      <t xml:space="preserve"> AÑOS SOBRE MERCADO</t>
    </r>
    <r>
      <rPr>
        <b/>
        <sz val="11"/>
        <color theme="1"/>
        <rFont val="Calibri"/>
      </rPr>
      <t xml:space="preserve"> (REVISAR VALORES QUE APLICAN) - SIN ARRIENDO GARANTIZADO </t>
    </r>
    <r>
      <rPr>
        <b/>
        <sz val="11"/>
        <color rgb="FFED0000"/>
        <rFont val="Calibri"/>
      </rPr>
      <t>2% DESCTO ADICIONAL</t>
    </r>
  </si>
  <si>
    <r>
      <rPr>
        <b/>
        <sz val="11"/>
        <color theme="1"/>
        <rFont val="Calibri"/>
      </rPr>
      <t>CIUDAD MATTA,</t>
    </r>
    <r>
      <rPr>
        <sz val="11"/>
        <color theme="1"/>
        <rFont val="Calibri"/>
      </rPr>
      <t xml:space="preserve"> Santiago </t>
    </r>
    <r>
      <rPr>
        <b/>
        <sz val="11"/>
        <color theme="1"/>
        <rFont val="Calibri"/>
      </rPr>
      <t>(DEISA)</t>
    </r>
  </si>
  <si>
    <t>1er Trimestre 2028</t>
  </si>
  <si>
    <r>
      <rPr>
        <b/>
        <sz val="11"/>
        <color theme="1"/>
        <rFont val="Calibri"/>
      </rPr>
      <t xml:space="preserve">25 </t>
    </r>
    <r>
      <rPr>
        <sz val="11"/>
        <color theme="1"/>
        <rFont val="Calibri"/>
      </rPr>
      <t xml:space="preserve">cuotas TOKU / ó 18 cuotas sin interés tarejta crédito (max 20% del precio)  </t>
    </r>
  </si>
  <si>
    <t>PROMOCION 24 DIVIDENDOS(10% de bono pie)</t>
  </si>
  <si>
    <t>PLAN ESPECIAL PIE EN HASTA 43 CUOTAS: 7% LAS PRIMERAS 25 CUOTAS CON TOKU + 3% CUOTON CON 18 C/TC A LA ESCRITURA + 10% 24D + 80% CREDITO</t>
  </si>
  <si>
    <r>
      <rPr>
        <b/>
        <sz val="11"/>
        <color theme="1"/>
        <rFont val="Calibri"/>
      </rPr>
      <t xml:space="preserve">CIUDAD ESPAÑA, </t>
    </r>
    <r>
      <rPr>
        <sz val="11"/>
        <color theme="1"/>
        <rFont val="Calibri"/>
      </rPr>
      <t xml:space="preserve">Santiago </t>
    </r>
    <r>
      <rPr>
        <b/>
        <sz val="11"/>
        <color theme="1"/>
        <rFont val="Calibri"/>
      </rPr>
      <t>(DEISA)</t>
    </r>
  </si>
  <si>
    <r>
      <rPr>
        <sz val="11"/>
        <color theme="1"/>
        <rFont val="Calibri"/>
      </rPr>
      <t xml:space="preserve">1er Trimestre </t>
    </r>
    <r>
      <rPr>
        <b/>
        <sz val="11"/>
        <color theme="1"/>
        <rFont val="Calibri"/>
      </rPr>
      <t>2028</t>
    </r>
  </si>
  <si>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cuotas TOKU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tarejta crédito (max 20% del precio)  </t>
    </r>
  </si>
  <si>
    <r>
      <rPr>
        <b/>
        <sz val="11"/>
        <color theme="1"/>
        <rFont val="Calibri"/>
      </rPr>
      <t xml:space="preserve"> SIN ARRIENDO GARANTIZADO </t>
    </r>
    <r>
      <rPr>
        <b/>
        <sz val="11"/>
        <color rgb="FFED0000"/>
        <rFont val="Calibri"/>
      </rPr>
      <t>2% DESCTO ADICIONAL</t>
    </r>
  </si>
  <si>
    <r>
      <rPr>
        <b/>
        <sz val="11"/>
        <color rgb="FFFF0000"/>
        <rFont val="Calibri"/>
      </rPr>
      <t>ARRIENDO GARANTIZADO SOBRE MERCADO</t>
    </r>
    <r>
      <rPr>
        <b/>
        <sz val="11"/>
        <color theme="1"/>
        <rFont val="Calibri"/>
      </rPr>
      <t xml:space="preserve"> 2</t>
    </r>
    <r>
      <rPr>
        <b/>
        <sz val="11"/>
        <color rgb="FFFF0000"/>
        <rFont val="Calibri"/>
      </rPr>
      <t xml:space="preserve"> AÑOS</t>
    </r>
    <r>
      <rPr>
        <b/>
        <sz val="11"/>
        <color theme="1"/>
        <rFont val="Calibri"/>
      </rPr>
      <t xml:space="preserve"> INCLUIDO EN DESCTO MAX (REVISAR CONDICIONES Y VALORES QUE APLICAN)</t>
    </r>
  </si>
  <si>
    <r>
      <rPr>
        <b/>
        <sz val="11"/>
        <color theme="1"/>
        <rFont val="Calibri"/>
      </rPr>
      <t xml:space="preserve">CIUDAD SIETE, </t>
    </r>
    <r>
      <rPr>
        <sz val="11"/>
        <color theme="1"/>
        <rFont val="Calibri"/>
      </rPr>
      <t xml:space="preserve">Cerrillos </t>
    </r>
    <r>
      <rPr>
        <b/>
        <sz val="11"/>
        <color theme="1"/>
        <rFont val="Calibri"/>
      </rPr>
      <t>(DEISA)</t>
    </r>
  </si>
  <si>
    <r>
      <rPr>
        <sz val="11"/>
        <color theme="1"/>
        <rFont val="Calibri"/>
      </rPr>
      <t xml:space="preserve">1er Trimestre </t>
    </r>
    <r>
      <rPr>
        <b/>
        <sz val="11"/>
        <color theme="1"/>
        <rFont val="Calibri"/>
      </rPr>
      <t>2028</t>
    </r>
  </si>
  <si>
    <r>
      <rPr>
        <b/>
        <sz val="11"/>
        <color theme="1"/>
        <rFont val="Calibri"/>
      </rPr>
      <t xml:space="preserve">25 </t>
    </r>
    <r>
      <rPr>
        <sz val="11"/>
        <color theme="1"/>
        <rFont val="Calibri"/>
      </rPr>
      <t xml:space="preserve">cuotas TOKU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tarejta crédito (max 20% del precio)  </t>
    </r>
  </si>
  <si>
    <t>PLAN ESPECIAL PIE EN HASTA 43 CUOTAS - LAS PRIMERAS 25 CUOTAS 7% CON TOKU + 18 C/TC  3% A LA ESCRITURA  + 10% 24D + 80% CH</t>
  </si>
  <si>
    <r>
      <rPr>
        <b/>
        <sz val="11"/>
        <color theme="1"/>
        <rFont val="Calibri"/>
      </rPr>
      <t>MACUL 3803,</t>
    </r>
    <r>
      <rPr>
        <sz val="11"/>
        <color theme="1"/>
        <rFont val="Calibri"/>
      </rPr>
      <t xml:space="preserve"> Macul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</si>
  <si>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 xml:space="preserve">25 </t>
    </r>
    <r>
      <rPr>
        <sz val="11"/>
        <color theme="1"/>
        <rFont val="Calibri"/>
      </rPr>
      <t xml:space="preserve">cuotas TOKU / ó 18 cuotas sin interés tarejta crédito (max 20% del precio)  </t>
    </r>
  </si>
  <si>
    <r>
      <rPr>
        <b/>
        <sz val="11"/>
        <color theme="1"/>
        <rFont val="Calibri"/>
      </rPr>
      <t xml:space="preserve">PROMOCION 24 DIVIDENDOS(10% de bono pie) - </t>
    </r>
    <r>
      <rPr>
        <b/>
        <sz val="11"/>
        <color rgb="FFFF0000"/>
        <rFont val="Calibri"/>
      </rPr>
      <t>SOLO DEPTOS 1,5D Y 2D</t>
    </r>
  </si>
  <si>
    <t>PLAN ESPECIAL PIE EN HASTA 43 CUOTAS: LAS PRIMERAS 25 CUOTAS 7% CON TOKU + 18 C/TC 3% A LA ESCRITURA  + 10% 24D + 80% CH</t>
  </si>
  <si>
    <r>
      <rPr>
        <b/>
        <sz val="11"/>
        <color rgb="FFFF0000"/>
        <rFont val="Calibri"/>
      </rPr>
      <t>DEPTOS 1D</t>
    </r>
    <r>
      <rPr>
        <b/>
        <sz val="11"/>
        <color theme="1"/>
        <rFont val="Calibri"/>
      </rPr>
      <t xml:space="preserve"> 15% PIE EN 25 CUOTAS TOKU + 5% A LA ESCRITURA C/TC + 80% CREDITO</t>
    </r>
  </si>
  <si>
    <r>
      <rPr>
        <b/>
        <sz val="11"/>
        <color theme="1"/>
        <rFont val="Calibri"/>
      </rPr>
      <t xml:space="preserve">VM2189, </t>
    </r>
    <r>
      <rPr>
        <sz val="11"/>
        <color theme="1"/>
        <rFont val="Calibri"/>
      </rPr>
      <t>San Joaquín</t>
    </r>
    <r>
      <rPr>
        <b/>
        <sz val="11"/>
        <color theme="1"/>
        <rFont val="Calibri"/>
      </rPr>
      <t xml:space="preserve"> (SANTOLAYA)</t>
    </r>
  </si>
  <si>
    <r>
      <rPr>
        <b/>
        <sz val="11"/>
        <color theme="1"/>
        <rFont val="Calibri"/>
      </rPr>
      <t xml:space="preserve">25 </t>
    </r>
    <r>
      <rPr>
        <sz val="11"/>
        <color theme="1"/>
        <rFont val="Calibri"/>
      </rPr>
      <t xml:space="preserve">cuotas TOKU / ó 18 cuotas sin interés tarejta crédito (max 15% del precio)  </t>
    </r>
  </si>
  <si>
    <r>
      <rPr>
        <b/>
        <sz val="11"/>
        <color theme="1"/>
        <rFont val="Calibri"/>
      </rPr>
      <t xml:space="preserve">PROMOCION 24 DIVIDENDOS(10% de bono pie) - </t>
    </r>
    <r>
      <rPr>
        <b/>
        <sz val="11"/>
        <color rgb="FFFF0000"/>
        <rFont val="Calibri"/>
      </rPr>
      <t>SOLO DEPTOS 1,5D Y 2D 2B</t>
    </r>
  </si>
  <si>
    <t xml:space="preserve">1,5D/1B </t>
  </si>
  <si>
    <t xml:space="preserve">1.5D/2B </t>
  </si>
  <si>
    <r>
      <rPr>
        <b/>
        <sz val="11"/>
        <color rgb="FFFF0000"/>
        <rFont val="Calibri"/>
      </rPr>
      <t>DEPTOS 1D</t>
    </r>
    <r>
      <rPr>
        <b/>
        <sz val="11"/>
        <color theme="1"/>
        <rFont val="Calibri"/>
      </rPr>
      <t xml:space="preserve"> 15% PIE EN 25 CUOTAS TOKU + 5% A LA ESCRITURA C/TC + 80% CREDITO</t>
    </r>
  </si>
  <si>
    <t>2D/2B incluye palier</t>
  </si>
  <si>
    <t xml:space="preserve">LOCALES </t>
  </si>
  <si>
    <t>PLAN PAGO PIE LOCALES: 5% CP 15% EN CUOTAS - 5% C/E  - 75% CRED F Grales</t>
  </si>
  <si>
    <r>
      <rPr>
        <b/>
        <sz val="11"/>
        <color theme="1"/>
        <rFont val="Calibri"/>
      </rPr>
      <t xml:space="preserve">MAPOCHO 2880, </t>
    </r>
    <r>
      <rPr>
        <sz val="11"/>
        <color theme="1"/>
        <rFont val="Calibri"/>
      </rPr>
      <t>Santiago</t>
    </r>
    <r>
      <rPr>
        <b/>
        <sz val="11"/>
        <color theme="1"/>
        <rFont val="Calibri"/>
      </rPr>
      <t xml:space="preserve"> (SANTOLAYA)</t>
    </r>
  </si>
  <si>
    <r>
      <rPr>
        <b/>
        <sz val="11"/>
        <color theme="1"/>
        <rFont val="Calibri"/>
      </rPr>
      <t xml:space="preserve">38 </t>
    </r>
    <r>
      <rPr>
        <sz val="11"/>
        <color theme="1"/>
        <rFont val="Calibri"/>
      </rPr>
      <t xml:space="preserve">cuotas TOKU / ó </t>
    </r>
    <r>
      <rPr>
        <b/>
        <sz val="11"/>
        <color theme="1"/>
        <rFont val="Calibri"/>
      </rPr>
      <t xml:space="preserve">18 </t>
    </r>
    <r>
      <rPr>
        <sz val="11"/>
        <color theme="1"/>
        <rFont val="Calibri"/>
      </rPr>
      <t xml:space="preserve">cuotas sin interés tarejta crédito (max 15% del precio)  </t>
    </r>
  </si>
  <si>
    <t>PLAN ESPECIAL PIE EN HASTA 56 CUOTAS: LAS PRIMERAS 38 CUOTAS 7% CON TOKU + 18 C/TC 3% A LA ESCRITURA  + 10% 24D + 80% CH</t>
  </si>
  <si>
    <t>4 CUPOS ESTAC PARA DEPTOS 2D1B // 4 CUPOS BODEGA PARA DEPT 1D1B</t>
  </si>
  <si>
    <r>
      <rPr>
        <b/>
        <sz val="11"/>
        <color theme="1"/>
        <rFont val="Calibri"/>
      </rPr>
      <t xml:space="preserve">CONECTA CERRILLOS, </t>
    </r>
    <r>
      <rPr>
        <sz val="11"/>
        <color theme="1"/>
        <rFont val="Calibri"/>
      </rPr>
      <t>Cerrillos</t>
    </r>
    <r>
      <rPr>
        <b/>
        <sz val="11"/>
        <color theme="1"/>
        <rFont val="Calibri"/>
      </rPr>
      <t xml:space="preserve"> (NAPOLEON)</t>
    </r>
  </si>
  <si>
    <t>Desde 10%</t>
  </si>
  <si>
    <t xml:space="preserve"> cuotas TOKU / ó 24 cuotas sin interés tarejta crédito (max 20% del precio)  </t>
  </si>
  <si>
    <r>
      <rPr>
        <b/>
        <sz val="11"/>
        <color theme="1"/>
        <rFont val="Calibri"/>
      </rPr>
      <t>PROMOCION 24 DIVIDENDOS (CUESTA</t>
    </r>
    <r>
      <rPr>
        <b/>
        <sz val="11"/>
        <color rgb="FFFF0000"/>
        <rFont val="Calibri"/>
      </rPr>
      <t xml:space="preserve"> 12% DSCTO)</t>
    </r>
  </si>
  <si>
    <t>PLAN ESPECIAL DE PAGO 10% EN    CUOTAS - LAS PRIMERAS    CUOTAS CON TOKU + 24 C/TC A LA ESCRITURA  + 10% 24D + 80% CREDITO</t>
  </si>
  <si>
    <t>PEND ACTUALIZACION CONDICIONES</t>
  </si>
  <si>
    <r>
      <rPr>
        <b/>
        <sz val="11"/>
        <color theme="1"/>
        <rFont val="Calibri"/>
      </rPr>
      <t>FUENZALIDA URREJOLA 303,</t>
    </r>
    <r>
      <rPr>
        <sz val="11"/>
        <color theme="1"/>
        <rFont val="Calibri"/>
      </rPr>
      <t xml:space="preserve"> La Cisterna </t>
    </r>
    <r>
      <rPr>
        <b/>
        <sz val="11"/>
        <color theme="1"/>
        <rFont val="Calibri"/>
      </rPr>
      <t>(Inmob. Lugano)</t>
    </r>
  </si>
  <si>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cuotas TOKU / ó 24 cuotas sin interés tarejta crédito (max 20% del precio)  </t>
    </r>
  </si>
  <si>
    <t>BONO PIE 10%  - ASOCIADO A FIRMA PAGARÉ</t>
  </si>
  <si>
    <t>PLAN ESPECIAL PIE EN HASTA 43 CUOTAS: LAS PRIMERAS 19 CUOTAS 7% CON TOKU + 24 C/TC  3% A LA ESCRITURA  + 10% 24D + 80% CH</t>
  </si>
  <si>
    <r>
      <rPr>
        <b/>
        <sz val="11"/>
        <color theme="1"/>
        <rFont val="Calibri"/>
      </rPr>
      <t xml:space="preserve">ZAÑARTU 1908, </t>
    </r>
    <r>
      <rPr>
        <sz val="11"/>
        <color theme="1"/>
        <rFont val="Calibri"/>
      </rPr>
      <t xml:space="preserve">Ñuñoa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</si>
  <si>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 xml:space="preserve">29 </t>
    </r>
    <r>
      <rPr>
        <sz val="11"/>
        <color theme="1"/>
        <rFont val="Calibri"/>
      </rPr>
      <t>cuotas TOKU</t>
    </r>
    <r>
      <rPr>
        <b/>
        <sz val="11"/>
        <color theme="1"/>
        <rFont val="Calibri"/>
      </rPr>
      <t xml:space="preserve"> / ó 18 </t>
    </r>
    <r>
      <rPr>
        <sz val="11"/>
        <color theme="1"/>
        <rFont val="Calibri"/>
      </rPr>
      <t xml:space="preserve">cuotas sin interés tarejta crédito (max 15% del precio)  </t>
    </r>
  </si>
  <si>
    <r>
      <rPr>
        <b/>
        <sz val="11"/>
        <color theme="1"/>
        <rFont val="Calibri"/>
      </rPr>
      <t xml:space="preserve">PROMOCION 24 DIVIDENDOS ( 10% de bono pie)- </t>
    </r>
    <r>
      <rPr>
        <b/>
        <sz val="11"/>
        <color rgb="FFFF0000"/>
        <rFont val="Calibri"/>
      </rPr>
      <t>SOLO DEPTOS 1,5D Y 2D</t>
    </r>
  </si>
  <si>
    <t>PLAN ESPECIAL PIE EN HASTA 47 CUOTAS: LAS PRIMERAS 29 CUOTAS 7% CON TOKU + 18 C/TC  3% A LA ESCRITURA  + 10% 24D + 80% CH</t>
  </si>
  <si>
    <t>1,5D / 2B</t>
  </si>
  <si>
    <r>
      <rPr>
        <b/>
        <sz val="11"/>
        <color rgb="FFFF0000"/>
        <rFont val="Calibri"/>
      </rPr>
      <t>DEPTOS 1D</t>
    </r>
    <r>
      <rPr>
        <b/>
        <sz val="11"/>
        <color theme="1"/>
        <rFont val="Calibri"/>
      </rPr>
      <t xml:space="preserve"> 15% PIE EN 29 CUOTAS TOKU + 5% A LA ESCRITURA C/TC + 80% CREDITO</t>
    </r>
  </si>
  <si>
    <t>1,5D / 2B 2S</t>
  </si>
  <si>
    <r>
      <rPr>
        <b/>
        <sz val="11"/>
        <color theme="1"/>
        <rFont val="Calibri"/>
      </rPr>
      <t>JMC 608, SANTIAGO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</si>
  <si>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 xml:space="preserve">39 cuotas TOKU / ó 18 </t>
    </r>
    <r>
      <rPr>
        <sz val="11"/>
        <color theme="1"/>
        <rFont val="Calibri"/>
      </rPr>
      <t xml:space="preserve">cuotas sin interés tarejta crédito (max 15% del precio)  </t>
    </r>
  </si>
  <si>
    <t>PLAN ESPECIAL PIE EN HASTA 57 CUOTAS:  LAS PRIMERAS 39 CUOTAS 7% CON TOKU + 18 C/TC 3% A LA ESCRITURA  + 10% 24D + 80% CH</t>
  </si>
  <si>
    <t>2D / 2B 1S</t>
  </si>
  <si>
    <r>
      <rPr>
        <b/>
        <sz val="11"/>
        <color theme="1"/>
        <rFont val="Calibri"/>
      </rPr>
      <t>BUZETA 4045, Cerrillos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 xml:space="preserve"> (Inmob. Lugano)</t>
    </r>
  </si>
  <si>
    <r>
      <rPr>
        <b/>
        <sz val="16"/>
        <color theme="1"/>
        <rFont val="Calibri"/>
      </rPr>
      <t xml:space="preserve">1era cuota </t>
    </r>
    <r>
      <rPr>
        <b/>
        <sz val="16"/>
        <color rgb="FFED0000"/>
        <rFont val="Calibri"/>
      </rPr>
      <t>marzo 2026</t>
    </r>
  </si>
  <si>
    <r>
      <rPr>
        <b/>
        <sz val="11"/>
        <color theme="1"/>
        <rFont val="Calibri"/>
      </rPr>
      <t xml:space="preserve">32 </t>
    </r>
    <r>
      <rPr>
        <sz val="11"/>
        <color theme="1"/>
        <rFont val="Calibri"/>
      </rPr>
      <t xml:space="preserve">cuotas TOKU / ó 18 cuotas sin interés tarejta crédito (max 20% del precio)  </t>
    </r>
  </si>
  <si>
    <t>NUEVO PROYECTO</t>
  </si>
  <si>
    <t>PAGA 1ERA CUOTA PIE A CONTAR DE MAR 2026</t>
  </si>
  <si>
    <t>PLAN ESPECIAL PIE EN 50 CUOTAS - LAS PRIMERAS 32 CUOTAS CON TOKU + 18 C/TC A LA ESCRITURA  + 10% 24D + 80% CREDITO</t>
  </si>
  <si>
    <t>C A S A S:</t>
  </si>
  <si>
    <r>
      <rPr>
        <b/>
        <sz val="11"/>
        <color theme="1"/>
        <rFont val="Calibri"/>
      </rPr>
      <t xml:space="preserve">ALTO HURTADO ET 2, </t>
    </r>
    <r>
      <rPr>
        <sz val="11"/>
        <color theme="1"/>
        <rFont val="Calibri"/>
      </rPr>
      <t>Padre Hurtado</t>
    </r>
    <r>
      <rPr>
        <b/>
        <sz val="11"/>
        <color theme="1"/>
        <rFont val="Calibri"/>
      </rPr>
      <t xml:space="preserve"> (70W)</t>
    </r>
  </si>
  <si>
    <t xml:space="preserve">D - Chilena </t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</si>
  <si>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 xml:space="preserve">cuotas TOKU / ó </t>
    </r>
    <r>
      <rPr>
        <b/>
        <sz val="11"/>
        <color theme="1"/>
        <rFont val="Calibri"/>
      </rPr>
      <t xml:space="preserve"> 36 </t>
    </r>
    <r>
      <rPr>
        <sz val="11"/>
        <color theme="1"/>
        <rFont val="Calibri"/>
      </rPr>
      <t>cuotas sin interés tarjeta crédito (máx 20% del precio) (GETNET)</t>
    </r>
  </si>
  <si>
    <t>PROMOCION 12 DIVIDENDOS (5% de bono pie)</t>
  </si>
  <si>
    <t>D - Mediterránea</t>
  </si>
  <si>
    <t xml:space="preserve">C - Chilena </t>
  </si>
  <si>
    <t>PLAN ESPECIAL PIE EN 21 CUOTAS: 3 + 18 c/ TC</t>
  </si>
  <si>
    <t>C - Mediterránea</t>
  </si>
  <si>
    <t xml:space="preserve">E - Chilena </t>
  </si>
  <si>
    <t>E - Mediterránea</t>
  </si>
  <si>
    <t xml:space="preserve">G - Chilena </t>
  </si>
  <si>
    <t>G - Mediterránea</t>
  </si>
  <si>
    <r>
      <rPr>
        <b/>
        <sz val="11"/>
        <color theme="1"/>
        <rFont val="Calibri"/>
      </rPr>
      <t xml:space="preserve">ALTO HURTADO ET 3, </t>
    </r>
    <r>
      <rPr>
        <sz val="11"/>
        <color theme="1"/>
        <rFont val="Calibri"/>
      </rPr>
      <t>Padre Hurtado</t>
    </r>
    <r>
      <rPr>
        <b/>
        <sz val="11"/>
        <color theme="1"/>
        <rFont val="Calibri"/>
      </rPr>
      <t xml:space="preserve">  (70W)</t>
    </r>
  </si>
  <si>
    <r>
      <rPr>
        <b/>
        <sz val="11"/>
        <color theme="1"/>
        <rFont val="Calibri"/>
      </rPr>
      <t xml:space="preserve">22 </t>
    </r>
    <r>
      <rPr>
        <sz val="11"/>
        <color theme="1"/>
        <rFont val="Calibri"/>
      </rPr>
      <t>cuotas TOKU / ó 36</t>
    </r>
    <r>
      <rPr>
        <b/>
        <sz val="11"/>
        <color theme="1"/>
        <rFont val="Calibri"/>
      </rPr>
      <t xml:space="preserve"> </t>
    </r>
    <r>
      <rPr>
        <sz val="11"/>
        <color theme="1"/>
        <rFont val="Calibri"/>
      </rPr>
      <t>cuotas sin interés tarjeta crédito (máx 20% del precio)(GETNET)</t>
    </r>
  </si>
  <si>
    <t>PAGO DEL PIE: 2% PROMESA + 13% EN 22 CUOTAS + 5% C/E ó 15% EN 22 CUOTAS + 5% C/E ó 10% EN 22 CUOTAS + 10% C/E + 80% CH</t>
  </si>
  <si>
    <t>* EXTIENDE TU PIE CON GETNET</t>
  </si>
  <si>
    <t>ü  Cuotón final debe ser máximo 5% del pie y se paga con TC</t>
  </si>
  <si>
    <t>ü  Hasta 36 cuotas sin interés con todos los bancos a excepción Bco de Chile (18 cuotas)</t>
  </si>
  <si>
    <t>ü  Cuando es cuota única, puede elegir la opción Getnet y pagar con TC (esta opción aplica para el % restante que no financie el banco)</t>
  </si>
  <si>
    <t>CONDICIONES COMERCIALES BRÓKER FEBRERO 2026</t>
  </si>
  <si>
    <t>ZONA</t>
  </si>
  <si>
    <t>TIPO DE ENTREGA</t>
  </si>
  <si>
    <t>FINANCIAMIENTO BANCARIO</t>
  </si>
  <si>
    <t>CUOTAS PROGRAMACIÓN (MAX 10% PIE)</t>
  </si>
  <si>
    <t>EXTIENDE TU PIE CON GETNET *</t>
  </si>
  <si>
    <t>FECHA ULTIMA CUOTA</t>
  </si>
  <si>
    <t>DESCUENTO RVC SOBRE PRECIO LISTA</t>
  </si>
  <si>
    <t>CONDICIONES DE VENTAS</t>
  </si>
  <si>
    <t>V REGIÓN</t>
  </si>
  <si>
    <t>Alto Marañon 3</t>
  </si>
  <si>
    <t>Aprobación</t>
  </si>
  <si>
    <t>1. SOLO LÍNEA 5 DISPONIBLE
 2. Estacionamiento solo 3D/2B
 3. Depto. 204 on anexo de 60 dias
 4. No se pueden vender BD y EST por separado</t>
  </si>
  <si>
    <t>ZONA CENTRAL</t>
  </si>
  <si>
    <t>Estacion central</t>
  </si>
  <si>
    <t>Edificio Coronel Souper</t>
  </si>
  <si>
    <t>1. Sin estacionamiento y bodegas disponibles
 2. Anexo 60 dias todas las unidades</t>
  </si>
  <si>
    <t>Edificio Trinidad Ramirez</t>
  </si>
  <si>
    <t>1. Estacionamiento debe ser vendido junto con la ultima unidad disponible
 2,Bodega obligatoria
 2. Todas las unidades llevan anexo 60 días</t>
  </si>
  <si>
    <t>Condominio Parque del Sur torre A</t>
  </si>
  <si>
    <t>1. Estacionamiento desde 2D/2B
 2. Bodega desde 2D/1B
 3. Deptos 202, 203, 207, 208 y 209 va con anexo 60 días
 4. Solo disponibles linea 1, 3 y 6</t>
  </si>
  <si>
    <t>Edificio Castillo Urizar</t>
  </si>
  <si>
    <t>1. Estacionamiento y bodega obligatoria 
 2. Depto 1110 no va con subsidio a la tasa
 3. Todas las unidades llevan anexo 60 días</t>
  </si>
  <si>
    <t>Edificio Guillermo Mann</t>
  </si>
  <si>
    <t>1. Bodega obligatoria
 2. Estacionamiento tándem obligatorio desde 2D/1B en adelante
 3. Todas las unidades llevan anexo 60 días
 4. Deptos 302 se vende amoblado
 5. Depto. 311 es sala de ventas</t>
  </si>
  <si>
    <t>Condominio Francisco Zelada Torre B</t>
  </si>
  <si>
    <t>FUTURA</t>
  </si>
  <si>
    <t>Pre Aprobación</t>
  </si>
  <si>
    <t>54 (18+36)</t>
  </si>
  <si>
    <t>31-08-0202</t>
  </si>
  <si>
    <t>1. Estacionamiento y bodega solo para 2D/1B en adelante</t>
  </si>
  <si>
    <t>Edificio Lia Aguirre</t>
  </si>
  <si>
    <t>1. Estacionamiento y bodega obligatoria
 2. Depto 209,210, 211,305 va con Anexo 60 Dias</t>
  </si>
  <si>
    <t>Edificio Pedro de la Barra</t>
  </si>
  <si>
    <t>43 (7+36)</t>
  </si>
  <si>
    <t>1. Estacionamiento y bodega solo para 2D/2B
 2. Deptos 306, 308, 309 y 311 van con anexo 60 días
 3. Todas las lineas disponibles menos la 16</t>
  </si>
  <si>
    <t>* CRÉDITO DIRECTO</t>
  </si>
  <si>
    <t>RESERVA SIN RIESGO</t>
  </si>
  <si>
    <t>ü  Hasta 60 cuotas para todos los proyectos que tienen asigando el financiemiento</t>
  </si>
  <si>
    <t>ü Valor $100.000</t>
  </si>
  <si>
    <t>ü Tasa anual del 0.3%</t>
  </si>
  <si>
    <t>ü Devolución a todo evento</t>
  </si>
  <si>
    <t>ü Si toma promoción 24 dividendos, el crédito es en máximo 24 cuotas</t>
  </si>
  <si>
    <t>ü Devolución 90 días</t>
  </si>
  <si>
    <t>** KNOCKIT</t>
  </si>
  <si>
    <t>BENEFICIOS FEBRERO 2026</t>
  </si>
  <si>
    <t>ü  Incluye corretaje y administración gratis</t>
  </si>
  <si>
    <t>PROMOCIONES (se excluyen todas las unidades en condición Oportunidad de todas las zonas)</t>
  </si>
  <si>
    <t>FINANCIAMIENTOS DEL 10% MÁX</t>
  </si>
  <si>
    <t>ü Tu arriendo es tu pie: con el arriendo se paga el crédrito a rvc y delta va a cliente</t>
  </si>
  <si>
    <t>NO ACUMULABLES ENTRE SI</t>
  </si>
  <si>
    <t>ACUMULABLE CON PROMOCIONES PERO NO ENTRE SI</t>
  </si>
  <si>
    <t>ETAPA</t>
  </si>
  <si>
    <t>GOP GRATIS</t>
  </si>
  <si>
    <t>6 DIVIDENDOS</t>
  </si>
  <si>
    <t>ARRIENDO ASEGURADO (48 MESES)</t>
  </si>
  <si>
    <t>24 DIVIDENDOS</t>
  </si>
  <si>
    <t>CREDITO DIRECTO (HASTA 60 CUOTAS) *</t>
  </si>
  <si>
    <t>KNOCKIT (60 CUOTAS) **</t>
  </si>
  <si>
    <t>Si</t>
  </si>
  <si>
    <t>SI</t>
  </si>
  <si>
    <t>¿QUÉ ES KNOCK IT?</t>
  </si>
  <si>
    <t>Knockit es una empresa que administra propiedades en arriendo y la recaudación mensual de dicho arriendo va a pagar el pie del cliente dueño de la propiedad (tope máximo del 10% del valor de venta).</t>
  </si>
  <si>
    <t>Es un financiamiento pensado para inversionistas.</t>
  </si>
  <si>
    <t>Es obligatorio que la propiedad sea arrendada y administrada por Knockit durante 60 meses o hasta que se salde la deuda total del pie.</t>
  </si>
  <si>
    <t>El crédito, otorgado por RVC, podrá ser hasta en 60 cuotas.</t>
  </si>
  <si>
    <t>El pago del crédito se realizará a través de la recaudación de arriendo, cuya gestión estará a cargo de Knockit.</t>
  </si>
  <si>
    <t>Cliente no tendrá que pagar comisión de corretaje ni de administración por este periodo, ya que es parte del beneficio.</t>
  </si>
  <si>
    <t>Cliente podrá tener 3 meses de vacancia en el periodo, los cuales tendrá que cubrir en los meses posteriores al plazo pactado inicialmente</t>
  </si>
  <si>
    <t>Preguntas Frecuentes respecto al Knokcit</t>
  </si>
  <si>
    <t>1. Quién me entrega el beneficio de la administración y corretaje gratis?</t>
  </si>
  <si>
    <t>R: La Inmobiliaria ha contratado a Knockit Property Rent, quien es el partner escogido como responsable de entregar y prestar todos los beneficios y servicios descritos, como también el de gestionar el beneficio de “tu pie es tu arriendo”.</t>
  </si>
  <si>
    <t>2. Cómo me aseguro de que se respete el beneficio de Knockit y además de poder pagar el pie contra mi arriendo?</t>
  </si>
  <si>
    <t>R: Los términos y condiciones estarán descritos en un anexo a la promesa de compra y venta para tu respaldo, con la firma de todas las partes.</t>
  </si>
  <si>
    <t>3. Necesitaré firmar algo con Knockit dado que en la promesa de compra y venta ya tengo confirmado el beneficio?</t>
  </si>
  <si>
    <t>R: Correcto, para que podamos activar los beneficios es necesario que firmes un Mandato de administración con Knockit, y un contrato de prestación de servicios, dado que ellos serán quienes te representará para todos los efectos, en estos documentos se describirán los servicios contratados a tu favor.</t>
  </si>
  <si>
    <t>4. Qué pasa si al minuto de escriturar ya no necesito pagar el pie en cuotas? Estoy obligado a tomar los servicios de Knockit?</t>
  </si>
  <si>
    <t>R: No, no estás obligado, si no usas el beneficio de las 60 cuotas, no estás obligado a tomar el servicio con Knockit.</t>
  </si>
  <si>
    <t>5. Qué pasa si en el proceso quiero pagar todo el pie que debo hacia adelante, puedo hacerlo? Mantengo los meses restantes de servicios de Knockit sin costo?</t>
  </si>
  <si>
    <t>R: Si se puede y la inmobiliaria financia hasta los 48 meses de la promoción.</t>
  </si>
  <si>
    <t>6. Puedo irme a vivir a la propiedad, dejando de generar arriendos por este motivo?</t>
  </si>
  <si>
    <t>R: Si, pero solo una vez pagadas las cuotas del pie con la Inmobiliaria. Tenemos la flexibilidad de dar término anticipado a los servicios de Knockit, en la medida que el saldo de pie haya sido pagado en su totalidad.</t>
  </si>
  <si>
    <t>7. Si se producen vacancias y no hay arriendos percibidos? Cómo pago la cuota si no hay ingresos y en paralelo estoy pagando al banco el hipotecario?</t>
  </si>
  <si>
    <t>R: En inmobiliaria RVC ya pensamos en eso, y queremos hacer de esta inversión un proceso fácil. Durante el plazo acordado para el pago de las cuotas, habrán 3 meses de gracia por vacancia durante el total del periodo de 60 meses, sin perjuicio que dichas cuotas deben ser cubiertas en la forma estipulada en el mandato de recaudación y servicio.</t>
  </si>
  <si>
    <t>8.Estos beneficios incluyen el pago de gastos comunes, servicios básicos adeudados y ese tipo de gastos?</t>
  </si>
  <si>
    <t>R: El beneficio te ayuda a tener un administrador de manera gratuita y manejar el proceso de que el arriendo o parte del arriendo sea tu pie, pero hay gastos que siempre son de responsabilidad del dueño, como los gastos comunes y cuentas básicas adeudadas, pago de contribuciones y derechos de aseo en caso que aplique o mantenciones que no hayan sido cubiertas por la garantía custodiada.</t>
  </si>
  <si>
    <t>9. Será necesario firmar un pagaré como reconocimiento de deuda? Quien paga o cómo se paga el impuesto?</t>
  </si>
  <si>
    <t>R: Sí, es necesario firmar un pagaré por las cuotas adeudadas después de la escrituración y el impuesto es de un 0,8% del valor del crédito el cual debes pagar.</t>
  </si>
  <si>
    <t>SE DEBE REVISAR EN BENEFICIOS SI EL PROYECTO TIENE AUTORIZADA LA PROMOCIÓN</t>
  </si>
  <si>
    <t>TOPE DIVIDENDO</t>
  </si>
  <si>
    <t>Iquique</t>
  </si>
  <si>
    <t>Edificio Lynch (deptos.)</t>
  </si>
  <si>
    <t>Edificio Lynch (oficinas y locales)</t>
  </si>
  <si>
    <t>Edificio Latorre</t>
  </si>
  <si>
    <t>V Región</t>
  </si>
  <si>
    <t>Concón</t>
  </si>
  <si>
    <t>Edificio Blanca Estela torre A y torre B</t>
  </si>
  <si>
    <t>$1.000.000</t>
  </si>
  <si>
    <t>Alto Mirador Edificio 2</t>
  </si>
  <si>
    <t>Zona Central 1</t>
  </si>
  <si>
    <t>Zona Central 2</t>
  </si>
  <si>
    <t>Edificio Lía Aguirre</t>
  </si>
  <si>
    <t>Edificio León Prado</t>
  </si>
  <si>
    <t>Condominio Jorge Cáceres 2</t>
  </si>
  <si>
    <t>Edificio Briones Luco</t>
  </si>
  <si>
    <t>Pedro de la Barra</t>
  </si>
  <si>
    <t>TIPOLOGÍA</t>
  </si>
  <si>
    <t>PROMOCIÓN</t>
  </si>
  <si>
    <t>VALORIZACIÓN</t>
  </si>
  <si>
    <t>(se debe revisar el valor de la UF cada vez que se calcule la valorización)</t>
  </si>
  <si>
    <t>TODAS</t>
  </si>
  <si>
    <t>GOP Gratis</t>
  </si>
  <si>
    <t>$ 1.200.000</t>
  </si>
  <si>
    <t>VALORIZACIÓN 24 DIVIDENDOS $</t>
  </si>
  <si>
    <t>$ 1.000.000</t>
  </si>
  <si>
    <t>Valor Final Unidad x 0,1 x UF del día</t>
  </si>
  <si>
    <t>EJ:</t>
  </si>
  <si>
    <t>$ 1.500.000</t>
  </si>
  <si>
    <t>Valor final unidad (incluye secundarios): 2.190 UF</t>
  </si>
  <si>
    <t>Valor UF del día: $39.000</t>
  </si>
  <si>
    <t>2190 UF x 0,1 = 219 UF</t>
  </si>
  <si>
    <t>219 UF x 39.000 = 8.541.000</t>
  </si>
  <si>
    <t>Valorización 24 dividendos = $8.541.000</t>
  </si>
  <si>
    <t>Condominio Jorge Cáceres Etapa 2</t>
  </si>
  <si>
    <t>TOPE MENSUAL 24 DIVIDENDOS $</t>
  </si>
  <si>
    <t>Valorización ÷ 24 meses</t>
  </si>
  <si>
    <t>Ej:</t>
  </si>
  <si>
    <t>Valorización 24 dividendos: $8.541.000</t>
  </si>
  <si>
    <t>6 Dividendos</t>
  </si>
  <si>
    <t>$ 3.840.000</t>
  </si>
  <si>
    <t>8.541.000 ÷ 24 meses = 355.875</t>
  </si>
  <si>
    <t>$ 3.720.000</t>
  </si>
  <si>
    <t>Tope Mensual 24 dividendos = $355.875</t>
  </si>
  <si>
    <t>Edificio Vista Horizonte</t>
  </si>
  <si>
    <t>$ 3.240.000</t>
  </si>
  <si>
    <t>$ 3.600.000</t>
  </si>
  <si>
    <t>$ 6.000.000</t>
  </si>
  <si>
    <t>$ 4.500.000</t>
  </si>
  <si>
    <t>$ 4.800.000</t>
  </si>
  <si>
    <t>$ 2.460.000</t>
  </si>
  <si>
    <t>$ 4.020.000</t>
  </si>
  <si>
    <t>$ 2.940.000</t>
  </si>
  <si>
    <t>$ 2.520.000</t>
  </si>
  <si>
    <t>$ 3.900.000</t>
  </si>
  <si>
    <t>Comuna</t>
  </si>
  <si>
    <t>Programa</t>
  </si>
  <si>
    <t>Superficie Comercial</t>
  </si>
  <si>
    <t>Valor Arriendo de Mercado</t>
  </si>
  <si>
    <t>EDIFICIO LATORRE</t>
  </si>
  <si>
    <t>2D/2B/CK/3C</t>
  </si>
  <si>
    <t>3D/2B/CK/5C</t>
  </si>
  <si>
    <t>56,0</t>
  </si>
  <si>
    <t>EDIFICIO LYNCH</t>
  </si>
  <si>
    <t>55,2</t>
  </si>
  <si>
    <t>EDIFICIO VISTA HORIZONTE</t>
  </si>
  <si>
    <t>60,6</t>
  </si>
  <si>
    <t>78,2</t>
  </si>
  <si>
    <t>PARQUE MARAÑON TORRE B</t>
  </si>
  <si>
    <t>54,0</t>
  </si>
  <si>
    <t>67,1</t>
  </si>
  <si>
    <t>BLANCA ESTELA I TORRE A y B</t>
  </si>
  <si>
    <t>109,2</t>
  </si>
  <si>
    <t>90,7</t>
  </si>
  <si>
    <t>ALTO MIRADOR</t>
  </si>
  <si>
    <t>2D/2B/CC/4C</t>
  </si>
  <si>
    <t>52,9</t>
  </si>
  <si>
    <t>77,3</t>
  </si>
  <si>
    <t>73,4</t>
  </si>
  <si>
    <t>34,7</t>
  </si>
  <si>
    <t>44,4</t>
  </si>
  <si>
    <t>51,4</t>
  </si>
  <si>
    <t>49,0</t>
  </si>
  <si>
    <t>PARQUES DEL SUR</t>
  </si>
  <si>
    <t>53,6</t>
  </si>
  <si>
    <t>55,4</t>
  </si>
  <si>
    <t>53,0</t>
  </si>
  <si>
    <t>54,1</t>
  </si>
  <si>
    <t>34,6</t>
  </si>
  <si>
    <t>55,7</t>
  </si>
  <si>
    <t>69,7</t>
  </si>
  <si>
    <t>73,7</t>
  </si>
  <si>
    <t>1D/1B/Ci/2C</t>
  </si>
  <si>
    <t>54,4</t>
  </si>
  <si>
    <t>Tipo Entrega</t>
  </si>
  <si>
    <t>Etapa (SCI)</t>
  </si>
  <si>
    <t>Banco Financiador</t>
  </si>
  <si>
    <t>PROYECTOS EN VERDE</t>
  </si>
  <si>
    <t>EDIFICIO LIPARITA</t>
  </si>
  <si>
    <t>Banco de Chile</t>
  </si>
  <si>
    <t>CONDOMINIO MANUEL JESUS RIVERA 2</t>
  </si>
  <si>
    <t>Banco Estado</t>
  </si>
  <si>
    <t>ITAU</t>
  </si>
  <si>
    <t>PROYECTOS ENTREGA INMEDIATA</t>
  </si>
  <si>
    <t>EDIFICIO LIBERTAD</t>
  </si>
  <si>
    <t>Banco Santander</t>
  </si>
  <si>
    <t>CONDOMINIO PALMAS DEL SUR II</t>
  </si>
  <si>
    <t>BLANCA ESTELA I TORRE A Y B</t>
  </si>
  <si>
    <t>Scotiabank</t>
  </si>
  <si>
    <t>BCI</t>
  </si>
  <si>
    <t>Nuñoa</t>
  </si>
  <si>
    <t>Condiciones de ventas Febrero 2026</t>
  </si>
  <si>
    <t>Estado</t>
  </si>
  <si>
    <t>Pre/Aprobación bancaria</t>
  </si>
  <si>
    <t>Monto Reserva</t>
  </si>
  <si>
    <t>Pie minimo %</t>
  </si>
  <si>
    <t>Cuotas</t>
  </si>
  <si>
    <t>Monto Contra promesa</t>
  </si>
  <si>
    <t>Forma de pago cuotas</t>
  </si>
  <si>
    <t>Fecha máxima de pago pie</t>
  </si>
  <si>
    <t>Condición Estacionamientos</t>
  </si>
  <si>
    <t>Condición Bodegas</t>
  </si>
  <si>
    <t>Descuento autorizado</t>
  </si>
  <si>
    <t>La Reserva</t>
  </si>
  <si>
    <t>90 UF</t>
  </si>
  <si>
    <t>No posee</t>
  </si>
  <si>
    <t>Toku</t>
  </si>
  <si>
    <t>No obligatorio</t>
  </si>
  <si>
    <t>Ninguno</t>
  </si>
  <si>
    <t>Play</t>
  </si>
  <si>
    <t>UF 50</t>
  </si>
  <si>
    <t>* Toku *Getnet (hasta 24 cuotas sin intereses)</t>
  </si>
  <si>
    <t>Obligatorio (Excepción para estudio y 1D+1B)</t>
  </si>
  <si>
    <t>25% 1D+1D/Estudio 20% en el resto</t>
  </si>
  <si>
    <t>Pago del pie se debe pagar antes de la firma de escritura</t>
  </si>
  <si>
    <t>Fam</t>
  </si>
  <si>
    <t>* Toku *Getnet (hasta 36 cuotas sin intereses)</t>
  </si>
  <si>
    <t>Obligatorio</t>
  </si>
  <si>
    <t>20% deptos y est.</t>
  </si>
  <si>
    <t>Line</t>
  </si>
  <si>
    <t>Modelo C Obligatorio</t>
  </si>
  <si>
    <t>15% deptos</t>
  </si>
  <si>
    <t>Mind</t>
  </si>
  <si>
    <t>Solo estos deptos 403/714/1701/1801 tienen derecho a estacionamiento</t>
  </si>
  <si>
    <t>2D+2B Opcional / 1D+1B No tiene derecho</t>
  </si>
  <si>
    <t>PDA Torre Poniente</t>
  </si>
  <si>
    <t>Venta en Verde</t>
  </si>
  <si>
    <t>Preaprobación</t>
  </si>
  <si>
    <t>Pago de la primera cuota</t>
  </si>
  <si>
    <t>Estudio No tiene derecho</t>
  </si>
  <si>
    <t>PDA Torre Oriente</t>
  </si>
  <si>
    <t>Se puede pagar en 8% en cuotas y 7% de pie en cuotón</t>
  </si>
  <si>
    <t>Forma de pago : Las 60 cuotas con creditú, 36 cuotas sin interés para todas las tarjetas excepto Banco Estado y Banco de Chile, Banco Estado serían 24 cuotas sin interés y Banco Chile sería 18 cuotas sin interés.</t>
  </si>
  <si>
    <t>Fecha Escrituración Aprox.</t>
  </si>
  <si>
    <t>Pago reserva2</t>
  </si>
  <si>
    <t>Dcto. Depto.</t>
  </si>
  <si>
    <t>Aporte Inmobiliario</t>
  </si>
  <si>
    <t>Cuotas Pie (Periodo Const.)1</t>
  </si>
  <si>
    <t>Pie (Periodo Construccion)3</t>
  </si>
  <si>
    <t>Pie (Cuoton)</t>
  </si>
  <si>
    <t>Pie Credito Sin Intereses8, 9 y 10</t>
  </si>
  <si>
    <t>Productos Secundarios</t>
  </si>
  <si>
    <t>Información adicional</t>
  </si>
  <si>
    <t>Pronto 
 Pago11</t>
  </si>
  <si>
    <t>Coordinadora a cargo</t>
  </si>
  <si>
    <t>Mail coordinadora</t>
  </si>
  <si>
    <t>Celular coordinadora</t>
  </si>
  <si>
    <t>Santa Isabel (STI)</t>
  </si>
  <si>
    <t>Entrega inmediata</t>
  </si>
  <si>
    <t>0,0%</t>
  </si>
  <si>
    <t>15,0%</t>
  </si>
  <si>
    <t>3,0%</t>
  </si>
  <si>
    <t>2,0%</t>
  </si>
  <si>
    <t>1 a 1</t>
  </si>
  <si>
    <t>1er arriendo sin comisión de corretaje o 3 meses de administración asegurada contratando plan black por 18 meses</t>
  </si>
  <si>
    <t>Clara Pinto</t>
  </si>
  <si>
    <t>cpinto@ingevec.cl</t>
  </si>
  <si>
    <t>56 9 8677 46 96</t>
  </si>
  <si>
    <t>Vicuña Mackenna 1796 (ÑUB)</t>
  </si>
  <si>
    <t>10,0%</t>
  </si>
  <si>
    <t>5,0%</t>
  </si>
  <si>
    <t>Crédito en hasta 36 cuotas
 1er arriendo sin comisión de corretaje o 3 meses de administración asegurada contratando plan black por 18 meses</t>
  </si>
  <si>
    <t>Damelys Marie</t>
  </si>
  <si>
    <t>dmarie@ingevec.cl</t>
  </si>
  <si>
    <t>56 9 3231 0545</t>
  </si>
  <si>
    <t>Santa Rosa (SRO)</t>
  </si>
  <si>
    <t>Tocornal (TOC)</t>
  </si>
  <si>
    <t>1er arriendo sin comisión de corretaje o 3 meses de administración asegurada contratando plan black por 18 meses
 Venta de depto + estacionamiento + bodega con gift card para el broker de $1.000.000</t>
  </si>
  <si>
    <t>Santos Ossa (OSSA)</t>
  </si>
  <si>
    <t>No aplica a beneficios DFL2
 Crédito en hasta 36 cuotas. Gift Card de $1.000.000 para el broker</t>
  </si>
  <si>
    <t>Los Alerces (ALE)</t>
  </si>
  <si>
    <t>Bellavista (BEL)</t>
  </si>
  <si>
    <t>Froilan Roa (ROA)</t>
  </si>
  <si>
    <t>Centenario I (FRK)</t>
  </si>
  <si>
    <t>20,0%</t>
  </si>
  <si>
    <t>Valle los Ingleses (ING)</t>
  </si>
  <si>
    <t>No aplica a beneficios DFL2</t>
  </si>
  <si>
    <t>Vespucio Capital (VESP)</t>
  </si>
  <si>
    <t>Crédito en 63 cuotas con arriendo garantizado (Arriendo hasta el 30/06/2031)</t>
  </si>
  <si>
    <r>
      <rPr>
        <u/>
        <sz val="10"/>
        <color rgb="FF1155CC"/>
        <rFont val="Calibri, sans-serif"/>
      </rPr>
      <t>cpinto@ingevec.cl</t>
    </r>
  </si>
  <si>
    <t>Vivaceta (VTA)</t>
  </si>
  <si>
    <t>Crédito en hasta 36 cuotas</t>
  </si>
  <si>
    <t>Vicuña Mackenna 7589 I y II (VIC) (VIC2)</t>
  </si>
  <si>
    <t>9,0%</t>
  </si>
  <si>
    <t>6,0%</t>
  </si>
  <si>
    <t>Diagonal Paraguay (DP)</t>
  </si>
  <si>
    <t>Abdón Cifuentes (ABD)</t>
  </si>
  <si>
    <t>Don Ignacio (DOM)</t>
  </si>
  <si>
    <t>Los Lilenes (LEN)</t>
  </si>
  <si>
    <t>7,0%</t>
  </si>
  <si>
    <t>8,0%</t>
  </si>
  <si>
    <t>Coronel Godoy (GOD)</t>
  </si>
  <si>
    <t>Crédito en hasta 12 cuotas</t>
  </si>
  <si>
    <t>Nueva Esmeralda (NES)</t>
  </si>
  <si>
    <t>13,0%</t>
  </si>
  <si>
    <t>3,5%</t>
  </si>
  <si>
    <t>Crédito en hasta 24 cuotas</t>
  </si>
  <si>
    <t>Brasil (BRA)</t>
  </si>
  <si>
    <t>Terrazzo (TER)</t>
  </si>
  <si>
    <t>El Aromo (ARO)</t>
  </si>
  <si>
    <t>11,0%</t>
  </si>
  <si>
    <t>4,0%</t>
  </si>
  <si>
    <t>Matta (MAT)</t>
  </si>
  <si>
    <t>Notas</t>
  </si>
  <si>
    <t>1.- Cuotas pie periodo construccion: cuotas dependen del inicio de escrituración del proyecto.</t>
  </si>
  <si>
    <t>2.- Pago de reserva: se abona al pie periodo de construcción.</t>
  </si>
  <si>
    <t>3.- Pie periodo construcción = Saldo del Precio de venta - Credito Hipotecario - Bono pie - Pie cuoton o Credito directo.-</t>
  </si>
  <si>
    <t>4.- Pie cuoton: pago contado, o con tarjeta de credito en 18 cuotas sin intereses.</t>
  </si>
  <si>
    <t>5.- Aporte Inmobiliario: se aplica sobre el valor de la unidad principal, aplicado el Dcto., no al monto total que incluya secundarios.</t>
  </si>
  <si>
    <t>6.- Cuotas totales: disponibles por inmobiliaria, sumando periodo de construcción + post escrituración.</t>
  </si>
  <si>
    <t>7.- Cuotas del credito sin intereses: dependeran de las condiciones comerciales.-</t>
  </si>
  <si>
    <t>8.- En caso de no calificar al credito sin intereses, el % se suma al Pie (cuoton).</t>
  </si>
  <si>
    <t>9.- En caso de un mayor financiamiento de crédito hipotecario, se descuenta del cuoton o del credito sin intereses, no del pie en periodo de construcción.</t>
  </si>
  <si>
    <t>10.- En caso de un menor financiamiento de crédito hipotecario, se debe pagar el saldo al cuoton, no agregando el monto a pie crédito sin intereses.</t>
  </si>
  <si>
    <t>11.- Pronto Pago, descuento adicional por pago al contado, se calcula sobre el monto en UF que entrega cliente como primera cuota y el % de pronto pago según proyecto.</t>
  </si>
  <si>
    <t>12.- La reservas de entraga futura duran un máximo de 30 días en sistema y las de entrega inmediata 45 días.</t>
  </si>
  <si>
    <t>13.- Todos los precios se actualizan los días lunes AM. Es responsabilidad de cada broker y/o asesor actualizar los precios en los sistemas que manejen</t>
  </si>
  <si>
    <t>14.- Al momento de reservar una unidad, se debe enviar al menos la cédula de identidad y el plan de pagos en un plazo no superior a 7 días corridos o la reserva se cae automáticamente</t>
  </si>
  <si>
    <t>15.- Las devoluciones de reservas pueden tardar hasta 60 días hábiles</t>
  </si>
  <si>
    <t>Sin cambios mes anterior</t>
  </si>
  <si>
    <t>Con cambios mes anterior</t>
  </si>
  <si>
    <t>Lanzamiento</t>
  </si>
  <si>
    <t>Departamentos por piso</t>
  </si>
  <si>
    <t>Estacionamientos</t>
  </si>
  <si>
    <t>Bodegas</t>
  </si>
  <si>
    <t>Ascensores</t>
  </si>
  <si>
    <t>Gasto común aproximado</t>
  </si>
  <si>
    <t>$2.200 x m2 aprox</t>
  </si>
  <si>
    <t>$2,100 x m2 aprox</t>
  </si>
  <si>
    <t>$1,800 x m2 aprox</t>
  </si>
  <si>
    <t>$1,750 x m2 aprox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</si>
</sst>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&quot;$&quot;\-#,##0"/>
    <numFmt numFmtId="42" formatCode="_ &quot;$&quot;* #,##0_ ;_ &quot;$&quot;* \-#,##0_ ;_ &quot;$&quot;* &quot;-&quot;_ ;_ @_ "/>
    <numFmt numFmtId="165" formatCode="dd\-mm\-yyyy"/>
    <numFmt numFmtId="167" formatCode="d\-m\-yyyy"/>
    <numFmt numFmtId="168" formatCode="&quot;$&quot;#,##0.00"/>
    <numFmt numFmtId="170" formatCode="0.0%"/>
    <numFmt numFmtId="171" formatCode="[$$]#,##0"/>
  </numFmts>
  <fonts count="65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2"/>
      <color rgb="FF3200C1"/>
      <name val="Nunito"/>
    </font>
    <font>
      <sz val="12"/>
      <color theme="1"/>
      <name val="Nunito"/>
    </font>
    <font>
      <sz val="11"/>
      <color theme="1"/>
      <name val="Aptos Narrow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4"/>
      <color rgb="FF3200C1"/>
      <name val="Nunito"/>
    </font>
    <font>
      <b/>
      <sz val="12"/>
      <color theme="1"/>
      <name val="Nunito"/>
    </font>
    <font>
      <sz val="16"/>
      <color theme="1"/>
      <name val="Aptos Narrow"/>
    </font>
    <font>
      <b/>
      <sz val="11"/>
      <color theme="1"/>
      <name val="Aptos Narrow"/>
    </font>
    <font>
      <b/>
      <u/>
      <sz val="11"/>
      <color rgb="FF467886"/>
      <name val="Aptos Narrow"/>
    </font>
    <font>
      <b/>
      <u/>
      <sz val="11"/>
      <color rgb="FF467886"/>
      <name val="Aptos Narrow"/>
    </font>
    <font>
      <sz val="10"/>
      <color theme="1"/>
      <name val="Aptos Narrow"/>
    </font>
    <font>
      <b/>
      <sz val="11"/>
      <color rgb="FFFF0000"/>
      <name val="Aptos Narrow"/>
    </font>
    <font>
      <b/>
      <sz val="12"/>
      <color theme="1"/>
      <name val="Aptos Narrow"/>
    </font>
    <font>
      <u/>
      <sz val="11"/>
      <color rgb="FF467886"/>
      <name val="Aptos Narrow"/>
    </font>
    <font>
      <b/>
      <i/>
      <sz val="11"/>
      <color theme="1"/>
      <name val="Aptos Narrow"/>
    </font>
    <font>
      <sz val="14"/>
      <color theme="1"/>
      <name val="Aptos Narrow"/>
    </font>
    <font>
      <b/>
      <sz val="16"/>
      <color theme="1"/>
      <name val="Calibri"/>
    </font>
    <font>
      <b/>
      <sz val="11"/>
      <color rgb="FFFF0000"/>
      <name val="Calibri"/>
    </font>
    <font>
      <b/>
      <sz val="10"/>
      <color rgb="FFFF0000"/>
      <name val="Calibri"/>
    </font>
    <font>
      <b/>
      <sz val="11"/>
      <color rgb="FFED0000"/>
      <name val="Calibri"/>
    </font>
    <font>
      <b/>
      <sz val="18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24"/>
      <color rgb="FFED0000"/>
      <name val="Calibri"/>
    </font>
    <font>
      <sz val="10"/>
      <color rgb="FFFF0000"/>
      <name val="Noto Sans Symbols"/>
    </font>
    <font>
      <b/>
      <sz val="18"/>
      <color rgb="FFFFFFFF"/>
      <name val="Calibri"/>
    </font>
    <font>
      <sz val="10"/>
      <color theme="1"/>
      <name val="Calibri"/>
    </font>
    <font>
      <sz val="11"/>
      <color rgb="FFFF0000"/>
      <name val="Noto Sans Symbols"/>
    </font>
    <font>
      <sz val="11"/>
      <color rgb="FFC61C2A"/>
      <name val="Noto Sans Symbols"/>
    </font>
    <font>
      <b/>
      <sz val="20"/>
      <color rgb="FFFFFFFF"/>
      <name val="Calibri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2"/>
      <color rgb="FF262626"/>
      <name val="Calibri"/>
    </font>
    <font>
      <sz val="10"/>
      <color rgb="FFFFFFFF"/>
      <name val="Calibri"/>
    </font>
    <font>
      <b/>
      <sz val="11"/>
      <color rgb="FFF2F2F2"/>
      <name val="Calibri"/>
    </font>
    <font>
      <b/>
      <sz val="16"/>
      <color rgb="FFFFFFFF"/>
      <name val="Calibri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b/>
      <sz val="14"/>
      <color rgb="FF000000"/>
      <name val="&quot;Aptos Narrow&quot;"/>
    </font>
    <font>
      <b/>
      <sz val="10"/>
      <color rgb="FFFFFFFF"/>
      <name val="Calibri"/>
    </font>
    <font>
      <sz val="9"/>
      <color rgb="FF000000"/>
      <name val="Calibri"/>
    </font>
    <font>
      <sz val="10"/>
      <color rgb="FF000000"/>
      <name val="Calibri"/>
    </font>
    <font>
      <u/>
      <sz val="10"/>
      <color rgb="FF0000FF"/>
      <name val="Calibri"/>
    </font>
    <font>
      <sz val="12"/>
      <color rgb="FF000000"/>
      <name val="Calibri"/>
    </font>
    <font>
      <b/>
      <u/>
      <sz val="14"/>
      <color rgb="FF000000"/>
      <name val="Arial"/>
    </font>
    <font>
      <sz val="14"/>
      <color rgb="FF000000"/>
      <name val="Calibri"/>
    </font>
    <font>
      <b/>
      <u/>
      <sz val="14"/>
      <color rgb="FFFFFFFF"/>
      <name val="Calibri"/>
    </font>
    <font>
      <b/>
      <sz val="12"/>
      <color rgb="FF000000"/>
      <name val="Calibri"/>
    </font>
    <font>
      <b/>
      <sz val="10"/>
      <color rgb="FFFF0000"/>
      <name val="Arial"/>
    </font>
    <font>
      <sz val="11"/>
      <color rgb="FFFF0000"/>
      <name val="Aptos Narrow"/>
    </font>
    <font>
      <b/>
      <sz val="11"/>
      <color rgb="FF00B050"/>
      <name val="Calibri"/>
    </font>
    <font>
      <b/>
      <sz val="12"/>
      <color rgb="FFFF0000"/>
      <name val="Calibri"/>
    </font>
    <font>
      <sz val="14"/>
      <color theme="1"/>
      <name val="Calibri"/>
    </font>
    <font>
      <b/>
      <sz val="14"/>
      <color rgb="FFFF3300"/>
      <name val="Calibri"/>
    </font>
    <font>
      <b/>
      <sz val="16"/>
      <color rgb="FFED0000"/>
      <name val="Calibri"/>
    </font>
    <font>
      <u/>
      <sz val="10"/>
      <color rgb="FF1155CC"/>
      <name val="Calibri, sans-serif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37FFDB"/>
        <bgColor rgb="FF37FFDB"/>
      </patternFill>
    </fill>
    <fill>
      <patternFill patternType="solid">
        <fgColor rgb="FFA6C9EB"/>
        <bgColor rgb="FFA6C9EB"/>
      </patternFill>
    </fill>
    <fill>
      <patternFill patternType="solid">
        <fgColor rgb="FFD8D8D8"/>
        <bgColor rgb="FFD8D8D8"/>
      </patternFill>
    </fill>
    <fill>
      <patternFill patternType="solid">
        <fgColor rgb="FFFAE2D5"/>
        <bgColor rgb="FFFAE2D5"/>
      </patternFill>
    </fill>
    <fill>
      <patternFill patternType="solid">
        <fgColor rgb="FFDAF2D0"/>
        <bgColor rgb="FFDAF2D0"/>
      </patternFill>
    </fill>
    <fill>
      <patternFill patternType="solid">
        <fgColor rgb="FFFFC000"/>
        <bgColor rgb="FFFFC000"/>
      </patternFill>
    </fill>
    <fill>
      <patternFill patternType="solid">
        <fgColor rgb="FFB5E6A2"/>
        <bgColor rgb="FFB5E6A2"/>
      </patternFill>
    </fill>
    <fill>
      <patternFill patternType="solid">
        <fgColor rgb="FF92D050"/>
        <bgColor rgb="FF92D050"/>
      </patternFill>
    </fill>
    <fill>
      <patternFill patternType="solid">
        <fgColor rgb="FFB4C6E7"/>
        <bgColor rgb="FFB4C6E7"/>
      </patternFill>
    </fill>
    <fill>
      <patternFill patternType="solid">
        <fgColor rgb="FFFFC6C6"/>
        <bgColor rgb="FFFFC6C6"/>
      </patternFill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  <fill>
      <patternFill patternType="solid">
        <fgColor rgb="FF305496"/>
        <bgColor rgb="FF305496"/>
      </patternFill>
    </fill>
    <fill>
      <patternFill patternType="solid">
        <fgColor rgb="FF00B0F0"/>
        <bgColor rgb="FF00B0F0"/>
      </patternFill>
    </fill>
    <fill>
      <patternFill patternType="solid">
        <fgColor rgb="FF808080"/>
        <bgColor rgb="FF80808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C00000"/>
        <bgColor rgb="FFC00000"/>
      </patternFill>
    </fill>
    <fill>
      <patternFill patternType="solid">
        <fgColor rgb="FFBFBFBF"/>
        <bgColor rgb="FFBFBFBF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CC66FF"/>
        <bgColor rgb="FFCC66FF"/>
      </patternFill>
    </fill>
    <fill>
      <patternFill patternType="solid">
        <fgColor rgb="FFCCCCFF"/>
        <bgColor rgb="FFCCCCFF"/>
      </patternFill>
    </fill>
    <fill>
      <patternFill patternType="solid">
        <fgColor rgb="FF595959"/>
        <bgColor rgb="FF595959"/>
      </patternFill>
    </fill>
    <fill>
      <patternFill patternType="solid">
        <fgColor rgb="FFA6A6A6"/>
        <bgColor rgb="FFA6A6A6"/>
      </patternFill>
    </fill>
    <fill>
      <patternFill patternType="solid">
        <fgColor rgb="FF8EA9DB"/>
        <bgColor rgb="FF8EA9DB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83CAEB"/>
        <bgColor rgb="FF83CAEB"/>
      </patternFill>
    </fill>
    <fill>
      <patternFill patternType="solid">
        <fgColor rgb="FF83CCEB"/>
        <bgColor rgb="FF83CCEB"/>
      </patternFill>
    </fill>
    <fill>
      <patternFill patternType="solid">
        <fgColor rgb="FFC6E0B4"/>
        <bgColor rgb="FFC6E0B4"/>
      </patternFill>
    </fill>
  </fills>
  <borders count="14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333F4F"/>
      </left>
      <right style="thin">
        <color rgb="FF333F4F"/>
      </right>
      <top/>
      <bottom style="thin">
        <color rgb="FF333F4F"/>
      </bottom>
      <diagonal/>
    </border>
    <border>
      <left/>
      <right style="thin">
        <color rgb="FF333F4F"/>
      </right>
      <top/>
      <bottom style="thin">
        <color rgb="FF333F4F"/>
      </bottom>
      <diagonal/>
    </border>
    <border>
      <left style="thin">
        <color rgb="FF333F4F"/>
      </left>
      <right style="thin">
        <color rgb="FF333F4F"/>
      </right>
      <top style="thin">
        <color rgb="FF333F4F"/>
      </top>
      <bottom style="thin">
        <color rgb="FF333F4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87">
    <xf numFmtId="0" fontId="0" fillId="0" borderId="0" xfId="0" applyFont="1" applyAlignment="1"/>
    <xf numFmtId="0" fontId="3" fillId="0" borderId="3" xfId="0" applyFont="1" applyBorder="1"/>
    <xf numFmtId="0" fontId="6" fillId="0" borderId="3" xfId="0" applyFont="1" applyBorder="1"/>
    <xf numFmtId="0" fontId="7" fillId="0" borderId="3" xfId="0" applyFont="1" applyBorder="1" applyAlignment="1">
      <alignment horizontal="right"/>
    </xf>
    <xf numFmtId="170" fontId="3" fillId="0" borderId="3" xfId="0" applyNumberFormat="1" applyFont="1" applyBorder="1"/>
    <xf numFmtId="171" fontId="3" fillId="0" borderId="3" xfId="0" applyNumberFormat="1" applyFont="1" applyBorder="1"/>
    <xf numFmtId="9" fontId="3" fillId="0" borderId="3" xfId="0" applyNumberFormat="1" applyFont="1" applyBorder="1"/>
    <xf numFmtId="4" fontId="7" fillId="0" borderId="3" xfId="0" applyNumberFormat="1" applyFont="1" applyBorder="1" applyAlignment="1">
      <alignment horizontal="right"/>
    </xf>
    <xf numFmtId="10" fontId="7" fillId="0" borderId="3" xfId="0" applyNumberFormat="1" applyFont="1" applyBorder="1" applyAlignment="1">
      <alignment horizontal="right"/>
    </xf>
    <xf numFmtId="171" fontId="7" fillId="0" borderId="3" xfId="0" applyNumberFormat="1" applyFont="1" applyBorder="1" applyAlignment="1">
      <alignment horizontal="right"/>
    </xf>
    <xf numFmtId="10" fontId="3" fillId="0" borderId="3" xfId="0" applyNumberFormat="1" applyFont="1" applyBorder="1"/>
    <xf numFmtId="0" fontId="7" fillId="0" borderId="3" xfId="0" applyFont="1" applyBorder="1"/>
    <xf numFmtId="2" fontId="7" fillId="0" borderId="3" xfId="0" applyNumberFormat="1" applyFont="1" applyBorder="1" applyAlignment="1">
      <alignment horizontal="right"/>
    </xf>
    <xf numFmtId="2" fontId="3" fillId="0" borderId="3" xfId="0" applyNumberFormat="1" applyFont="1" applyBorder="1"/>
    <xf numFmtId="9" fontId="7" fillId="0" borderId="3" xfId="0" applyNumberFormat="1" applyFont="1" applyBorder="1" applyAlignment="1">
      <alignment horizontal="right"/>
    </xf>
    <xf numFmtId="170" fontId="7" fillId="0" borderId="3" xfId="0" applyNumberFormat="1" applyFont="1" applyBorder="1" applyAlignment="1">
      <alignment horizontal="right"/>
    </xf>
    <xf numFmtId="0" fontId="8" fillId="0" borderId="3" xfId="0" applyFont="1" applyBorder="1"/>
    <xf numFmtId="3" fontId="3" fillId="5" borderId="3" xfId="0" applyNumberFormat="1" applyFont="1" applyFill="1" applyBorder="1"/>
    <xf numFmtId="4" fontId="3" fillId="5" borderId="3" xfId="0" applyNumberFormat="1" applyFont="1" applyFill="1" applyBorder="1"/>
    <xf numFmtId="4" fontId="7" fillId="5" borderId="3" xfId="0" applyNumberFormat="1" applyFont="1" applyFill="1" applyBorder="1" applyAlignment="1">
      <alignment horizontal="right"/>
    </xf>
    <xf numFmtId="9" fontId="7" fillId="5" borderId="3" xfId="0" applyNumberFormat="1" applyFont="1" applyFill="1" applyBorder="1" applyAlignment="1">
      <alignment horizontal="right"/>
    </xf>
    <xf numFmtId="171" fontId="13" fillId="0" borderId="3" xfId="0" applyNumberFormat="1" applyFont="1" applyBorder="1" applyAlignment="1">
      <alignment horizontal="right"/>
    </xf>
    <xf numFmtId="0" fontId="7" fillId="5" borderId="3" xfId="0" applyFont="1" applyFill="1" applyBorder="1" applyAlignment="1">
      <alignment horizontal="center"/>
    </xf>
    <xf numFmtId="10" fontId="7" fillId="5" borderId="3" xfId="0" applyNumberFormat="1" applyFont="1" applyFill="1" applyBorder="1" applyAlignment="1">
      <alignment horizontal="right"/>
    </xf>
    <xf numFmtId="0" fontId="7" fillId="5" borderId="3" xfId="0" applyFont="1" applyFill="1" applyBorder="1" applyAlignment="1">
      <alignment horizontal="right"/>
    </xf>
    <xf numFmtId="171" fontId="7" fillId="5" borderId="3" xfId="0" applyNumberFormat="1" applyFont="1" applyFill="1" applyBorder="1" applyAlignment="1">
      <alignment horizontal="right"/>
    </xf>
    <xf numFmtId="0" fontId="8" fillId="4" borderId="1" xfId="0" applyFont="1" applyFill="1" applyBorder="1"/>
    <xf numFmtId="0" fontId="15" fillId="4" borderId="1" xfId="0" applyFont="1" applyFill="1" applyBorder="1"/>
    <xf numFmtId="0" fontId="16" fillId="6" borderId="24" xfId="0" applyFont="1" applyFill="1" applyBorder="1" applyAlignment="1">
      <alignment horizontal="center" wrapText="1"/>
    </xf>
    <xf numFmtId="0" fontId="17" fillId="6" borderId="25" xfId="0" applyFont="1" applyFill="1" applyBorder="1" applyAlignment="1">
      <alignment horizontal="center" wrapText="1"/>
    </xf>
    <xf numFmtId="0" fontId="4" fillId="6" borderId="25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6" borderId="26" xfId="0" applyFont="1" applyFill="1" applyBorder="1" applyAlignment="1">
      <alignment horizontal="center" wrapText="1"/>
    </xf>
    <xf numFmtId="0" fontId="8" fillId="4" borderId="27" xfId="0" applyFont="1" applyFill="1" applyBorder="1"/>
    <xf numFmtId="0" fontId="8" fillId="4" borderId="28" xfId="0" applyFont="1" applyFill="1" applyBorder="1"/>
    <xf numFmtId="0" fontId="8" fillId="4" borderId="29" xfId="0" applyFont="1" applyFill="1" applyBorder="1"/>
    <xf numFmtId="0" fontId="15" fillId="7" borderId="2" xfId="0" applyFont="1" applyFill="1" applyBorder="1"/>
    <xf numFmtId="0" fontId="4" fillId="0" borderId="2" xfId="0" applyFont="1" applyBorder="1"/>
    <xf numFmtId="0" fontId="3" fillId="0" borderId="2" xfId="0" applyFont="1" applyBorder="1"/>
    <xf numFmtId="0" fontId="3" fillId="8" borderId="2" xfId="0" applyFont="1" applyFill="1" applyBorder="1"/>
    <xf numFmtId="9" fontId="3" fillId="9" borderId="2" xfId="0" applyNumberFormat="1" applyFont="1" applyFill="1" applyBorder="1" applyAlignment="1">
      <alignment horizontal="center"/>
    </xf>
    <xf numFmtId="0" fontId="8" fillId="9" borderId="2" xfId="0" applyFont="1" applyFill="1" applyBorder="1"/>
    <xf numFmtId="42" fontId="4" fillId="9" borderId="30" xfId="0" applyNumberFormat="1" applyFont="1" applyFill="1" applyBorder="1" applyAlignment="1">
      <alignment horizontal="center"/>
    </xf>
    <xf numFmtId="9" fontId="3" fillId="9" borderId="30" xfId="0" applyNumberFormat="1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8" fillId="4" borderId="31" xfId="0" applyFont="1" applyFill="1" applyBorder="1"/>
    <xf numFmtId="0" fontId="8" fillId="4" borderId="32" xfId="0" applyFont="1" applyFill="1" applyBorder="1"/>
    <xf numFmtId="0" fontId="8" fillId="0" borderId="2" xfId="0" applyFont="1" applyBorder="1"/>
    <xf numFmtId="0" fontId="4" fillId="2" borderId="2" xfId="0" applyFont="1" applyFill="1" applyBorder="1"/>
    <xf numFmtId="9" fontId="4" fillId="9" borderId="2" xfId="0" applyNumberFormat="1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9" fillId="4" borderId="1" xfId="0" applyFont="1" applyFill="1" applyBorder="1"/>
    <xf numFmtId="9" fontId="4" fillId="9" borderId="30" xfId="0" applyNumberFormat="1" applyFont="1" applyFill="1" applyBorder="1" applyAlignment="1">
      <alignment horizontal="center"/>
    </xf>
    <xf numFmtId="9" fontId="8" fillId="9" borderId="2" xfId="0" applyNumberFormat="1" applyFont="1" applyFill="1" applyBorder="1"/>
    <xf numFmtId="0" fontId="3" fillId="9" borderId="30" xfId="0" applyFont="1" applyFill="1" applyBorder="1" applyAlignment="1">
      <alignment horizontal="center"/>
    </xf>
    <xf numFmtId="0" fontId="9" fillId="4" borderId="1" xfId="0" applyFont="1" applyFill="1" applyBorder="1"/>
    <xf numFmtId="0" fontId="4" fillId="2" borderId="33" xfId="0" applyFont="1" applyFill="1" applyBorder="1"/>
    <xf numFmtId="0" fontId="3" fillId="0" borderId="33" xfId="0" applyFont="1" applyBorder="1"/>
    <xf numFmtId="0" fontId="3" fillId="8" borderId="33" xfId="0" applyFont="1" applyFill="1" applyBorder="1"/>
    <xf numFmtId="9" fontId="4" fillId="9" borderId="33" xfId="0" applyNumberFormat="1" applyFont="1" applyFill="1" applyBorder="1" applyAlignment="1">
      <alignment horizontal="center"/>
    </xf>
    <xf numFmtId="0" fontId="8" fillId="9" borderId="33" xfId="0" applyFont="1" applyFill="1" applyBorder="1"/>
    <xf numFmtId="42" fontId="4" fillId="9" borderId="33" xfId="0" applyNumberFormat="1" applyFont="1" applyFill="1" applyBorder="1" applyAlignment="1">
      <alignment horizontal="center"/>
    </xf>
    <xf numFmtId="9" fontId="3" fillId="9" borderId="33" xfId="0" applyNumberFormat="1" applyFont="1" applyFill="1" applyBorder="1" applyAlignment="1">
      <alignment horizontal="center"/>
    </xf>
    <xf numFmtId="0" fontId="3" fillId="9" borderId="33" xfId="0" applyFont="1" applyFill="1" applyBorder="1" applyAlignment="1">
      <alignment horizontal="center"/>
    </xf>
    <xf numFmtId="0" fontId="4" fillId="10" borderId="34" xfId="0" applyFont="1" applyFill="1" applyBorder="1"/>
    <xf numFmtId="0" fontId="4" fillId="0" borderId="34" xfId="0" applyFont="1" applyBorder="1"/>
    <xf numFmtId="0" fontId="3" fillId="0" borderId="34" xfId="0" applyFont="1" applyBorder="1"/>
    <xf numFmtId="9" fontId="3" fillId="9" borderId="34" xfId="0" applyNumberFormat="1" applyFont="1" applyFill="1" applyBorder="1" applyAlignment="1">
      <alignment horizontal="center"/>
    </xf>
    <xf numFmtId="0" fontId="4" fillId="9" borderId="34" xfId="0" applyFont="1" applyFill="1" applyBorder="1" applyAlignment="1">
      <alignment horizontal="center"/>
    </xf>
    <xf numFmtId="42" fontId="4" fillId="9" borderId="34" xfId="0" applyNumberFormat="1" applyFont="1" applyFill="1" applyBorder="1" applyAlignment="1">
      <alignment horizontal="center"/>
    </xf>
    <xf numFmtId="0" fontId="3" fillId="9" borderId="34" xfId="0" applyFont="1" applyFill="1" applyBorder="1" applyAlignment="1">
      <alignment horizontal="center"/>
    </xf>
    <xf numFmtId="9" fontId="8" fillId="9" borderId="34" xfId="0" applyNumberFormat="1" applyFont="1" applyFill="1" applyBorder="1"/>
    <xf numFmtId="0" fontId="4" fillId="10" borderId="39" xfId="0" applyFont="1" applyFill="1" applyBorder="1"/>
    <xf numFmtId="0" fontId="4" fillId="0" borderId="40" xfId="0" applyFont="1" applyBorder="1"/>
    <xf numFmtId="0" fontId="3" fillId="0" borderId="40" xfId="0" applyFont="1" applyBorder="1"/>
    <xf numFmtId="9" fontId="4" fillId="9" borderId="39" xfId="0" applyNumberFormat="1" applyFont="1" applyFill="1" applyBorder="1" applyAlignment="1">
      <alignment horizontal="center"/>
    </xf>
    <xf numFmtId="9" fontId="8" fillId="9" borderId="39" xfId="0" applyNumberFormat="1" applyFont="1" applyFill="1" applyBorder="1"/>
    <xf numFmtId="9" fontId="3" fillId="9" borderId="39" xfId="0" applyNumberFormat="1" applyFont="1" applyFill="1" applyBorder="1" applyAlignment="1">
      <alignment horizontal="center"/>
    </xf>
    <xf numFmtId="0" fontId="3" fillId="9" borderId="39" xfId="0" applyFont="1" applyFill="1" applyBorder="1" applyAlignment="1">
      <alignment horizontal="center"/>
    </xf>
    <xf numFmtId="9" fontId="4" fillId="10" borderId="39" xfId="0" applyNumberFormat="1" applyFont="1" applyFill="1" applyBorder="1" applyAlignment="1">
      <alignment horizontal="center"/>
    </xf>
    <xf numFmtId="0" fontId="4" fillId="0" borderId="41" xfId="0" applyFont="1" applyBorder="1"/>
    <xf numFmtId="0" fontId="3" fillId="0" borderId="41" xfId="0" applyFont="1" applyBorder="1"/>
    <xf numFmtId="9" fontId="4" fillId="11" borderId="30" xfId="0" applyNumberFormat="1" applyFont="1" applyFill="1" applyBorder="1" applyAlignment="1">
      <alignment horizontal="center"/>
    </xf>
    <xf numFmtId="9" fontId="8" fillId="11" borderId="30" xfId="0" applyNumberFormat="1" applyFont="1" applyFill="1" applyBorder="1"/>
    <xf numFmtId="42" fontId="4" fillId="11" borderId="30" xfId="0" applyNumberFormat="1" applyFont="1" applyFill="1" applyBorder="1" applyAlignment="1">
      <alignment horizontal="center"/>
    </xf>
    <xf numFmtId="0" fontId="8" fillId="11" borderId="30" xfId="0" applyFont="1" applyFill="1" applyBorder="1"/>
    <xf numFmtId="9" fontId="3" fillId="11" borderId="30" xfId="0" applyNumberFormat="1" applyFont="1" applyFill="1" applyBorder="1" applyAlignment="1">
      <alignment horizontal="center"/>
    </xf>
    <xf numFmtId="0" fontId="3" fillId="11" borderId="30" xfId="0" applyFont="1" applyFill="1" applyBorder="1" applyAlignment="1">
      <alignment horizontal="center"/>
    </xf>
    <xf numFmtId="9" fontId="3" fillId="11" borderId="2" xfId="0" applyNumberFormat="1" applyFont="1" applyFill="1" applyBorder="1" applyAlignment="1">
      <alignment horizontal="center"/>
    </xf>
    <xf numFmtId="0" fontId="8" fillId="11" borderId="2" xfId="0" applyFont="1" applyFill="1" applyBorder="1"/>
    <xf numFmtId="0" fontId="3" fillId="11" borderId="2" xfId="0" applyFont="1" applyFill="1" applyBorder="1" applyAlignment="1">
      <alignment horizontal="center"/>
    </xf>
    <xf numFmtId="0" fontId="4" fillId="12" borderId="2" xfId="0" applyFont="1" applyFill="1" applyBorder="1"/>
    <xf numFmtId="9" fontId="4" fillId="11" borderId="2" xfId="0" applyNumberFormat="1" applyFont="1" applyFill="1" applyBorder="1" applyAlignment="1">
      <alignment horizontal="center"/>
    </xf>
    <xf numFmtId="9" fontId="8" fillId="11" borderId="2" xfId="0" applyNumberFormat="1" applyFont="1" applyFill="1" applyBorder="1"/>
    <xf numFmtId="0" fontId="4" fillId="12" borderId="30" xfId="0" applyFont="1" applyFill="1" applyBorder="1"/>
    <xf numFmtId="0" fontId="4" fillId="11" borderId="30" xfId="0" applyFont="1" applyFill="1" applyBorder="1" applyAlignment="1">
      <alignment horizontal="center"/>
    </xf>
    <xf numFmtId="0" fontId="8" fillId="4" borderId="42" xfId="0" applyFont="1" applyFill="1" applyBorder="1"/>
    <xf numFmtId="0" fontId="8" fillId="4" borderId="43" xfId="0" applyFont="1" applyFill="1" applyBorder="1"/>
    <xf numFmtId="0" fontId="8" fillId="4" borderId="44" xfId="0" applyFont="1" applyFill="1" applyBorder="1"/>
    <xf numFmtId="0" fontId="21" fillId="4" borderId="1" xfId="0" applyFont="1" applyFill="1" applyBorder="1"/>
    <xf numFmtId="0" fontId="8" fillId="4" borderId="1" xfId="0" applyFont="1" applyFill="1" applyBorder="1" applyAlignment="1">
      <alignment vertical="top"/>
    </xf>
    <xf numFmtId="0" fontId="22" fillId="4" borderId="1" xfId="0" applyFont="1" applyFill="1" applyBorder="1"/>
    <xf numFmtId="0" fontId="19" fillId="4" borderId="1" xfId="0" applyFont="1" applyFill="1" applyBorder="1" applyAlignment="1">
      <alignment vertical="top" wrapText="1"/>
    </xf>
    <xf numFmtId="0" fontId="4" fillId="0" borderId="0" xfId="0" applyFont="1"/>
    <xf numFmtId="0" fontId="23" fillId="0" borderId="3" xfId="0" applyFont="1" applyBorder="1"/>
    <xf numFmtId="0" fontId="8" fillId="4" borderId="3" xfId="0" applyFont="1" applyFill="1" applyBorder="1"/>
    <xf numFmtId="0" fontId="15" fillId="0" borderId="3" xfId="0" applyFont="1" applyBorder="1"/>
    <xf numFmtId="0" fontId="9" fillId="0" borderId="0" xfId="0" applyFont="1"/>
    <xf numFmtId="0" fontId="11" fillId="0" borderId="0" xfId="0" applyFont="1"/>
    <xf numFmtId="15" fontId="11" fillId="0" borderId="0" xfId="0" applyNumberFormat="1" applyFont="1"/>
    <xf numFmtId="15" fontId="9" fillId="0" borderId="0" xfId="0" applyNumberFormat="1" applyFont="1"/>
    <xf numFmtId="0" fontId="11" fillId="13" borderId="48" xfId="0" applyFont="1" applyFill="1" applyBorder="1"/>
    <xf numFmtId="0" fontId="9" fillId="13" borderId="49" xfId="0" applyFont="1" applyFill="1" applyBorder="1"/>
    <xf numFmtId="15" fontId="9" fillId="13" borderId="49" xfId="0" applyNumberFormat="1" applyFont="1" applyFill="1" applyBorder="1"/>
    <xf numFmtId="0" fontId="9" fillId="13" borderId="50" xfId="0" applyFont="1" applyFill="1" applyBorder="1"/>
    <xf numFmtId="0" fontId="11" fillId="0" borderId="51" xfId="0" applyFont="1" applyBorder="1" applyAlignment="1">
      <alignment horizontal="center" wrapText="1"/>
    </xf>
    <xf numFmtId="0" fontId="11" fillId="0" borderId="52" xfId="0" applyFont="1" applyBorder="1" applyAlignment="1">
      <alignment horizontal="center" wrapText="1"/>
    </xf>
    <xf numFmtId="0" fontId="11" fillId="0" borderId="47" xfId="0" applyFont="1" applyBorder="1" applyAlignment="1">
      <alignment horizontal="center" wrapText="1"/>
    </xf>
    <xf numFmtId="0" fontId="11" fillId="0" borderId="46" xfId="0" applyFont="1" applyBorder="1" applyAlignment="1">
      <alignment horizontal="center" wrapText="1"/>
    </xf>
    <xf numFmtId="0" fontId="11" fillId="0" borderId="53" xfId="0" applyFont="1" applyBorder="1" applyAlignment="1">
      <alignment horizontal="center" wrapText="1"/>
    </xf>
    <xf numFmtId="0" fontId="11" fillId="0" borderId="54" xfId="0" applyFont="1" applyBorder="1" applyAlignment="1">
      <alignment horizontal="center" wrapText="1"/>
    </xf>
    <xf numFmtId="0" fontId="11" fillId="0" borderId="5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1" fillId="0" borderId="57" xfId="0" applyFont="1" applyBorder="1" applyAlignment="1">
      <alignment horizontal="center" wrapText="1"/>
    </xf>
    <xf numFmtId="0" fontId="9" fillId="0" borderId="60" xfId="0" applyFont="1" applyBorder="1"/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59" xfId="0" applyFont="1" applyBorder="1"/>
    <xf numFmtId="170" fontId="11" fillId="0" borderId="63" xfId="0" applyNumberFormat="1" applyFont="1" applyBorder="1" applyAlignment="1">
      <alignment horizontal="center"/>
    </xf>
    <xf numFmtId="170" fontId="11" fillId="0" borderId="64" xfId="0" applyNumberFormat="1" applyFont="1" applyBorder="1" applyAlignment="1">
      <alignment horizontal="center"/>
    </xf>
    <xf numFmtId="0" fontId="9" fillId="0" borderId="63" xfId="0" applyFont="1" applyBorder="1"/>
    <xf numFmtId="0" fontId="9" fillId="0" borderId="68" xfId="0" applyFont="1" applyBorder="1"/>
    <xf numFmtId="0" fontId="9" fillId="0" borderId="69" xfId="0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9" fillId="0" borderId="67" xfId="0" applyFont="1" applyBorder="1"/>
    <xf numFmtId="170" fontId="11" fillId="0" borderId="71" xfId="0" applyNumberFormat="1" applyFont="1" applyBorder="1" applyAlignment="1">
      <alignment horizontal="center"/>
    </xf>
    <xf numFmtId="170" fontId="9" fillId="0" borderId="72" xfId="0" applyNumberFormat="1" applyFont="1" applyBorder="1"/>
    <xf numFmtId="0" fontId="25" fillId="0" borderId="71" xfId="0" applyFont="1" applyBorder="1" applyAlignment="1">
      <alignment vertical="top" wrapText="1"/>
    </xf>
    <xf numFmtId="170" fontId="11" fillId="0" borderId="72" xfId="0" applyNumberFormat="1" applyFont="1" applyBorder="1" applyAlignment="1">
      <alignment horizontal="center"/>
    </xf>
    <xf numFmtId="0" fontId="9" fillId="0" borderId="71" xfId="0" applyFont="1" applyBorder="1"/>
    <xf numFmtId="17" fontId="9" fillId="0" borderId="67" xfId="0" applyNumberFormat="1" applyFont="1" applyBorder="1" applyAlignment="1">
      <alignment horizontal="center"/>
    </xf>
    <xf numFmtId="170" fontId="11" fillId="0" borderId="73" xfId="0" applyNumberFormat="1" applyFont="1" applyBorder="1" applyAlignment="1">
      <alignment horizontal="center"/>
    </xf>
    <xf numFmtId="170" fontId="11" fillId="0" borderId="74" xfId="0" applyNumberFormat="1" applyFont="1" applyBorder="1" applyAlignment="1">
      <alignment horizontal="center"/>
    </xf>
    <xf numFmtId="0" fontId="9" fillId="0" borderId="73" xfId="0" applyFont="1" applyBorder="1"/>
    <xf numFmtId="17" fontId="9" fillId="0" borderId="67" xfId="0" applyNumberFormat="1" applyFont="1" applyBorder="1"/>
    <xf numFmtId="170" fontId="11" fillId="0" borderId="73" xfId="0" applyNumberFormat="1" applyFont="1" applyBorder="1"/>
    <xf numFmtId="170" fontId="9" fillId="0" borderId="74" xfId="0" applyNumberFormat="1" applyFont="1" applyBorder="1"/>
    <xf numFmtId="170" fontId="11" fillId="0" borderId="65" xfId="0" applyNumberFormat="1" applyFont="1" applyBorder="1" applyAlignment="1">
      <alignment horizontal="center"/>
    </xf>
    <xf numFmtId="170" fontId="9" fillId="0" borderId="75" xfId="0" applyNumberFormat="1" applyFont="1" applyBorder="1"/>
    <xf numFmtId="0" fontId="11" fillId="13" borderId="76" xfId="0" applyFont="1" applyFill="1" applyBorder="1" applyAlignment="1">
      <alignment wrapText="1"/>
    </xf>
    <xf numFmtId="0" fontId="11" fillId="2" borderId="77" xfId="0" applyFont="1" applyFill="1" applyBorder="1" applyAlignment="1">
      <alignment wrapText="1"/>
    </xf>
    <xf numFmtId="0" fontId="11" fillId="10" borderId="77" xfId="0" applyFont="1" applyFill="1" applyBorder="1" applyAlignment="1">
      <alignment wrapText="1"/>
    </xf>
    <xf numFmtId="170" fontId="25" fillId="0" borderId="65" xfId="0" applyNumberFormat="1" applyFont="1" applyBorder="1" applyAlignment="1">
      <alignment horizontal="center"/>
    </xf>
    <xf numFmtId="0" fontId="25" fillId="0" borderId="71" xfId="0" applyFont="1" applyBorder="1" applyAlignment="1">
      <alignment wrapText="1"/>
    </xf>
    <xf numFmtId="0" fontId="11" fillId="0" borderId="71" xfId="0" applyFont="1" applyBorder="1" applyAlignment="1">
      <alignment wrapText="1"/>
    </xf>
    <xf numFmtId="0" fontId="9" fillId="0" borderId="81" xfId="0" applyFont="1" applyBorder="1" applyAlignment="1">
      <alignment horizontal="center"/>
    </xf>
    <xf numFmtId="0" fontId="9" fillId="0" borderId="82" xfId="0" applyFont="1" applyBorder="1" applyAlignment="1">
      <alignment horizontal="center"/>
    </xf>
    <xf numFmtId="170" fontId="27" fillId="0" borderId="65" xfId="0" applyNumberFormat="1" applyFont="1" applyBorder="1" applyAlignment="1">
      <alignment horizontal="center"/>
    </xf>
    <xf numFmtId="170" fontId="9" fillId="0" borderId="83" xfId="0" applyNumberFormat="1" applyFont="1" applyBorder="1"/>
    <xf numFmtId="170" fontId="9" fillId="0" borderId="64" xfId="0" applyNumberFormat="1" applyFont="1" applyBorder="1"/>
    <xf numFmtId="0" fontId="9" fillId="0" borderId="56" xfId="0" applyFont="1" applyBorder="1"/>
    <xf numFmtId="42" fontId="9" fillId="0" borderId="56" xfId="0" applyNumberFormat="1" applyFont="1" applyBorder="1"/>
    <xf numFmtId="9" fontId="9" fillId="0" borderId="56" xfId="0" applyNumberFormat="1" applyFont="1" applyBorder="1"/>
    <xf numFmtId="9" fontId="9" fillId="0" borderId="59" xfId="0" applyNumberFormat="1" applyFont="1" applyBorder="1"/>
    <xf numFmtId="0" fontId="9" fillId="0" borderId="87" xfId="0" applyFont="1" applyBorder="1" applyAlignment="1">
      <alignment horizontal="center"/>
    </xf>
    <xf numFmtId="0" fontId="9" fillId="0" borderId="88" xfId="0" applyFont="1" applyBorder="1" applyAlignment="1">
      <alignment horizontal="center"/>
    </xf>
    <xf numFmtId="0" fontId="9" fillId="0" borderId="66" xfId="0" applyFont="1" applyBorder="1" applyAlignment="1">
      <alignment horizontal="center" wrapText="1"/>
    </xf>
    <xf numFmtId="170" fontId="11" fillId="0" borderId="65" xfId="0" applyNumberFormat="1" applyFont="1" applyBorder="1"/>
    <xf numFmtId="170" fontId="9" fillId="0" borderId="59" xfId="0" applyNumberFormat="1" applyFont="1" applyBorder="1"/>
    <xf numFmtId="0" fontId="9" fillId="0" borderId="66" xfId="0" applyFont="1" applyBorder="1" applyAlignment="1">
      <alignment horizontal="center"/>
    </xf>
    <xf numFmtId="42" fontId="9" fillId="0" borderId="66" xfId="0" applyNumberFormat="1" applyFont="1" applyBorder="1" applyAlignment="1">
      <alignment horizontal="center"/>
    </xf>
    <xf numFmtId="9" fontId="11" fillId="0" borderId="66" xfId="0" applyNumberFormat="1" applyFont="1" applyBorder="1" applyAlignment="1">
      <alignment horizontal="center"/>
    </xf>
    <xf numFmtId="9" fontId="9" fillId="0" borderId="67" xfId="0" applyNumberFormat="1" applyFont="1" applyBorder="1"/>
    <xf numFmtId="0" fontId="9" fillId="0" borderId="89" xfId="0" applyFont="1" applyBorder="1"/>
    <xf numFmtId="170" fontId="11" fillId="0" borderId="58" xfId="0" applyNumberFormat="1" applyFont="1" applyBorder="1"/>
    <xf numFmtId="170" fontId="9" fillId="0" borderId="15" xfId="0" applyNumberFormat="1" applyFont="1" applyBorder="1"/>
    <xf numFmtId="0" fontId="9" fillId="0" borderId="66" xfId="0" applyFont="1" applyBorder="1"/>
    <xf numFmtId="42" fontId="9" fillId="0" borderId="66" xfId="0" applyNumberFormat="1" applyFont="1" applyBorder="1"/>
    <xf numFmtId="9" fontId="9" fillId="0" borderId="66" xfId="0" applyNumberFormat="1" applyFont="1" applyBorder="1"/>
    <xf numFmtId="6" fontId="24" fillId="0" borderId="67" xfId="0" applyNumberFormat="1" applyFont="1" applyBorder="1" applyAlignment="1">
      <alignment horizontal="center"/>
    </xf>
    <xf numFmtId="0" fontId="9" fillId="0" borderId="90" xfId="0" applyFont="1" applyBorder="1"/>
    <xf numFmtId="0" fontId="9" fillId="0" borderId="87" xfId="0" applyFont="1" applyBorder="1"/>
    <xf numFmtId="0" fontId="9" fillId="0" borderId="88" xfId="0" applyFont="1" applyBorder="1"/>
    <xf numFmtId="170" fontId="9" fillId="0" borderId="61" xfId="0" applyNumberFormat="1" applyFont="1" applyBorder="1"/>
    <xf numFmtId="170" fontId="9" fillId="0" borderId="91" xfId="0" applyNumberFormat="1" applyFont="1" applyBorder="1"/>
    <xf numFmtId="0" fontId="9" fillId="0" borderId="81" xfId="0" applyFont="1" applyBorder="1"/>
    <xf numFmtId="0" fontId="9" fillId="0" borderId="82" xfId="0" applyFont="1" applyBorder="1"/>
    <xf numFmtId="170" fontId="9" fillId="0" borderId="65" xfId="0" applyNumberFormat="1" applyFont="1" applyBorder="1"/>
    <xf numFmtId="170" fontId="9" fillId="0" borderId="67" xfId="0" applyNumberFormat="1" applyFont="1" applyBorder="1"/>
    <xf numFmtId="0" fontId="27" fillId="0" borderId="71" xfId="0" applyFont="1" applyBorder="1" applyAlignment="1">
      <alignment wrapText="1"/>
    </xf>
    <xf numFmtId="170" fontId="11" fillId="0" borderId="58" xfId="0" applyNumberFormat="1" applyFont="1" applyBorder="1" applyAlignment="1">
      <alignment horizontal="center"/>
    </xf>
    <xf numFmtId="170" fontId="9" fillId="0" borderId="92" xfId="0" applyNumberFormat="1" applyFont="1" applyBorder="1"/>
    <xf numFmtId="0" fontId="9" fillId="0" borderId="65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80" xfId="0" applyFont="1" applyBorder="1"/>
    <xf numFmtId="170" fontId="11" fillId="0" borderId="78" xfId="0" applyNumberFormat="1" applyFont="1" applyBorder="1" applyAlignment="1">
      <alignment horizontal="center"/>
    </xf>
    <xf numFmtId="170" fontId="11" fillId="0" borderId="61" xfId="0" applyNumberFormat="1" applyFont="1" applyBorder="1" applyAlignment="1">
      <alignment horizontal="center"/>
    </xf>
    <xf numFmtId="170" fontId="9" fillId="0" borderId="62" xfId="0" applyNumberFormat="1" applyFont="1" applyBorder="1"/>
    <xf numFmtId="170" fontId="11" fillId="0" borderId="69" xfId="0" applyNumberFormat="1" applyFont="1" applyBorder="1" applyAlignment="1">
      <alignment horizontal="center"/>
    </xf>
    <xf numFmtId="170" fontId="9" fillId="0" borderId="70" xfId="0" applyNumberFormat="1" applyFont="1" applyBorder="1"/>
    <xf numFmtId="0" fontId="11" fillId="0" borderId="72" xfId="0" applyFont="1" applyBorder="1" applyAlignment="1">
      <alignment vertical="top" wrapText="1"/>
    </xf>
    <xf numFmtId="0" fontId="9" fillId="0" borderId="93" xfId="0" applyFont="1" applyBorder="1"/>
    <xf numFmtId="0" fontId="9" fillId="0" borderId="78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11" fillId="13" borderId="50" xfId="0" applyFont="1" applyFill="1" applyBorder="1" applyAlignment="1">
      <alignment wrapText="1"/>
    </xf>
    <xf numFmtId="0" fontId="11" fillId="13" borderId="77" xfId="0" applyFont="1" applyFill="1" applyBorder="1" applyAlignment="1">
      <alignment wrapText="1"/>
    </xf>
    <xf numFmtId="0" fontId="9" fillId="0" borderId="72" xfId="0" applyFont="1" applyBorder="1"/>
    <xf numFmtId="0" fontId="9" fillId="0" borderId="72" xfId="0" applyFont="1" applyBorder="1" applyAlignment="1">
      <alignment vertical="top"/>
    </xf>
    <xf numFmtId="0" fontId="9" fillId="0" borderId="94" xfId="0" applyFont="1" applyBorder="1"/>
    <xf numFmtId="170" fontId="27" fillId="0" borderId="61" xfId="0" applyNumberFormat="1" applyFont="1" applyBorder="1" applyAlignment="1">
      <alignment horizontal="center"/>
    </xf>
    <xf numFmtId="0" fontId="9" fillId="0" borderId="96" xfId="0" applyFont="1" applyBorder="1"/>
    <xf numFmtId="0" fontId="9" fillId="0" borderId="98" xfId="0" applyFont="1" applyBorder="1"/>
    <xf numFmtId="0" fontId="11" fillId="12" borderId="99" xfId="0" applyFont="1" applyFill="1" applyBorder="1" applyAlignment="1">
      <alignment wrapText="1"/>
    </xf>
    <xf numFmtId="170" fontId="11" fillId="0" borderId="81" xfId="0" applyNumberFormat="1" applyFont="1" applyBorder="1" applyAlignment="1">
      <alignment horizontal="center"/>
    </xf>
    <xf numFmtId="170" fontId="9" fillId="0" borderId="82" xfId="0" applyNumberFormat="1" applyFont="1" applyBorder="1"/>
    <xf numFmtId="170" fontId="9" fillId="0" borderId="60" xfId="0" applyNumberFormat="1" applyFont="1" applyBorder="1"/>
    <xf numFmtId="0" fontId="11" fillId="13" borderId="99" xfId="0" applyFont="1" applyFill="1" applyBorder="1" applyAlignment="1">
      <alignment wrapText="1"/>
    </xf>
    <xf numFmtId="170" fontId="9" fillId="0" borderId="68" xfId="0" applyNumberFormat="1" applyFont="1" applyBorder="1"/>
    <xf numFmtId="0" fontId="25" fillId="0" borderId="72" xfId="0" applyFont="1" applyBorder="1" applyAlignment="1">
      <alignment wrapText="1"/>
    </xf>
    <xf numFmtId="170" fontId="11" fillId="0" borderId="93" xfId="0" applyNumberFormat="1" applyFont="1" applyBorder="1" applyAlignment="1">
      <alignment horizontal="center"/>
    </xf>
    <xf numFmtId="170" fontId="9" fillId="0" borderId="93" xfId="0" applyNumberFormat="1" applyFont="1" applyBorder="1"/>
    <xf numFmtId="17" fontId="9" fillId="0" borderId="65" xfId="0" applyNumberFormat="1" applyFont="1" applyBorder="1" applyAlignment="1">
      <alignment horizontal="center" wrapText="1"/>
    </xf>
    <xf numFmtId="0" fontId="9" fillId="0" borderId="75" xfId="0" applyFont="1" applyBorder="1"/>
    <xf numFmtId="17" fontId="9" fillId="0" borderId="75" xfId="0" applyNumberFormat="1" applyFont="1" applyBorder="1"/>
    <xf numFmtId="0" fontId="9" fillId="0" borderId="69" xfId="0" applyFont="1" applyBorder="1"/>
    <xf numFmtId="0" fontId="9" fillId="0" borderId="70" xfId="0" applyFont="1" applyBorder="1"/>
    <xf numFmtId="170" fontId="9" fillId="0" borderId="69" xfId="0" applyNumberFormat="1" applyFont="1" applyBorder="1"/>
    <xf numFmtId="0" fontId="30" fillId="0" borderId="71" xfId="0" applyFont="1" applyBorder="1" applyAlignment="1">
      <alignment wrapText="1"/>
    </xf>
    <xf numFmtId="0" fontId="9" fillId="0" borderId="83" xfId="0" applyFont="1" applyBorder="1"/>
    <xf numFmtId="170" fontId="9" fillId="0" borderId="78" xfId="0" applyNumberFormat="1" applyFont="1" applyBorder="1"/>
    <xf numFmtId="170" fontId="9" fillId="0" borderId="80" xfId="0" applyNumberFormat="1" applyFont="1" applyBorder="1"/>
    <xf numFmtId="10" fontId="11" fillId="0" borderId="62" xfId="0" applyNumberFormat="1" applyFont="1" applyBorder="1" applyAlignment="1">
      <alignment horizontal="center"/>
    </xf>
    <xf numFmtId="170" fontId="11" fillId="0" borderId="87" xfId="0" applyNumberFormat="1" applyFont="1" applyBorder="1" applyAlignment="1">
      <alignment horizontal="center"/>
    </xf>
    <xf numFmtId="10" fontId="11" fillId="0" borderId="88" xfId="0" applyNumberFormat="1" applyFont="1" applyBorder="1" applyAlignment="1">
      <alignment horizontal="center"/>
    </xf>
    <xf numFmtId="0" fontId="11" fillId="0" borderId="71" xfId="0" applyFont="1" applyBorder="1" applyAlignment="1">
      <alignment vertical="top" wrapText="1"/>
    </xf>
    <xf numFmtId="0" fontId="9" fillId="0" borderId="71" xfId="0" applyFont="1" applyBorder="1" applyAlignment="1">
      <alignment vertical="top"/>
    </xf>
    <xf numFmtId="10" fontId="11" fillId="0" borderId="101" xfId="0" applyNumberFormat="1" applyFont="1" applyBorder="1" applyAlignment="1">
      <alignment horizontal="center"/>
    </xf>
    <xf numFmtId="0" fontId="9" fillId="0" borderId="58" xfId="0" applyFont="1" applyBorder="1"/>
    <xf numFmtId="0" fontId="9" fillId="0" borderId="65" xfId="0" applyFont="1" applyBorder="1"/>
    <xf numFmtId="170" fontId="9" fillId="0" borderId="88" xfId="0" applyNumberFormat="1" applyFont="1" applyBorder="1"/>
    <xf numFmtId="0" fontId="9" fillId="0" borderId="0" xfId="0" applyFont="1" applyAlignment="1">
      <alignment vertical="top"/>
    </xf>
    <xf numFmtId="0" fontId="9" fillId="0" borderId="78" xfId="0" applyFont="1" applyBorder="1"/>
    <xf numFmtId="0" fontId="9" fillId="0" borderId="79" xfId="0" applyFont="1" applyBorder="1"/>
    <xf numFmtId="17" fontId="9" fillId="0" borderId="80" xfId="0" applyNumberFormat="1" applyFont="1" applyBorder="1"/>
    <xf numFmtId="0" fontId="11" fillId="0" borderId="73" xfId="0" applyFont="1" applyBorder="1" applyAlignment="1">
      <alignment vertical="top" wrapText="1"/>
    </xf>
    <xf numFmtId="0" fontId="9" fillId="0" borderId="102" xfId="0" applyFont="1" applyBorder="1" applyAlignment="1">
      <alignment horizontal="center"/>
    </xf>
    <xf numFmtId="0" fontId="9" fillId="0" borderId="101" xfId="0" applyFont="1" applyBorder="1" applyAlignment="1">
      <alignment horizontal="center"/>
    </xf>
    <xf numFmtId="0" fontId="31" fillId="0" borderId="0" xfId="0" applyFont="1"/>
    <xf numFmtId="0" fontId="11" fillId="7" borderId="76" xfId="0" applyFont="1" applyFill="1" applyBorder="1" applyAlignment="1">
      <alignment wrapText="1"/>
    </xf>
    <xf numFmtId="170" fontId="30" fillId="0" borderId="78" xfId="0" applyNumberFormat="1" applyFont="1" applyBorder="1" applyAlignment="1">
      <alignment horizontal="center"/>
    </xf>
    <xf numFmtId="0" fontId="11" fillId="0" borderId="72" xfId="0" applyFont="1" applyBorder="1" applyAlignment="1">
      <alignment wrapText="1"/>
    </xf>
    <xf numFmtId="0" fontId="9" fillId="0" borderId="103" xfId="0" applyFont="1" applyBorder="1"/>
    <xf numFmtId="0" fontId="30" fillId="14" borderId="77" xfId="0" applyFont="1" applyFill="1" applyBorder="1" applyAlignment="1">
      <alignment wrapText="1"/>
    </xf>
    <xf numFmtId="0" fontId="11" fillId="0" borderId="73" xfId="0" applyFont="1" applyBorder="1" applyAlignment="1">
      <alignment wrapText="1"/>
    </xf>
    <xf numFmtId="0" fontId="30" fillId="14" borderId="104" xfId="0" applyFont="1" applyFill="1" applyBorder="1" applyAlignment="1">
      <alignment wrapText="1"/>
    </xf>
    <xf numFmtId="170" fontId="25" fillId="0" borderId="58" xfId="0" applyNumberFormat="1" applyFont="1" applyBorder="1" applyAlignment="1">
      <alignment horizontal="center"/>
    </xf>
    <xf numFmtId="170" fontId="27" fillId="0" borderId="58" xfId="0" applyNumberFormat="1" applyFont="1" applyBorder="1" applyAlignment="1">
      <alignment horizontal="center"/>
    </xf>
    <xf numFmtId="0" fontId="11" fillId="7" borderId="57" xfId="0" applyFont="1" applyFill="1" applyBorder="1" applyAlignment="1">
      <alignment vertical="top" wrapText="1"/>
    </xf>
    <xf numFmtId="170" fontId="11" fillId="0" borderId="92" xfId="0" applyNumberFormat="1" applyFont="1" applyBorder="1" applyAlignment="1">
      <alignment horizontal="center"/>
    </xf>
    <xf numFmtId="170" fontId="11" fillId="0" borderId="75" xfId="0" applyNumberFormat="1" applyFont="1" applyBorder="1" applyAlignment="1">
      <alignment horizontal="center"/>
    </xf>
    <xf numFmtId="170" fontId="11" fillId="0" borderId="83" xfId="0" applyNumberFormat="1" applyFont="1" applyBorder="1" applyAlignment="1">
      <alignment horizontal="center"/>
    </xf>
    <xf numFmtId="0" fontId="9" fillId="13" borderId="99" xfId="0" applyFont="1" applyFill="1" applyBorder="1"/>
    <xf numFmtId="0" fontId="11" fillId="0" borderId="86" xfId="0" applyFont="1" applyBorder="1" applyAlignment="1">
      <alignment horizontal="center" wrapText="1"/>
    </xf>
    <xf numFmtId="0" fontId="9" fillId="13" borderId="105" xfId="0" applyFont="1" applyFill="1" applyBorder="1"/>
    <xf numFmtId="42" fontId="9" fillId="13" borderId="105" xfId="0" applyNumberFormat="1" applyFont="1" applyFill="1" applyBorder="1"/>
    <xf numFmtId="9" fontId="9" fillId="13" borderId="105" xfId="0" applyNumberFormat="1" applyFont="1" applyFill="1" applyBorder="1"/>
    <xf numFmtId="17" fontId="9" fillId="13" borderId="105" xfId="0" applyNumberFormat="1" applyFont="1" applyFill="1" applyBorder="1"/>
    <xf numFmtId="170" fontId="9" fillId="13" borderId="106" xfId="0" applyNumberFormat="1" applyFont="1" applyFill="1" applyBorder="1"/>
    <xf numFmtId="170" fontId="9" fillId="13" borderId="107" xfId="0" applyNumberFormat="1" applyFont="1" applyFill="1" applyBorder="1"/>
    <xf numFmtId="0" fontId="9" fillId="13" borderId="107" xfId="0" applyFont="1" applyFill="1" applyBorder="1"/>
    <xf numFmtId="0" fontId="9" fillId="0" borderId="84" xfId="0" applyFont="1" applyBorder="1"/>
    <xf numFmtId="0" fontId="9" fillId="0" borderId="64" xfId="0" applyFont="1" applyBorder="1"/>
    <xf numFmtId="0" fontId="9" fillId="0" borderId="108" xfId="0" applyFont="1" applyBorder="1"/>
    <xf numFmtId="0" fontId="9" fillId="0" borderId="85" xfId="0" applyFont="1" applyBorder="1"/>
    <xf numFmtId="0" fontId="11" fillId="10" borderId="99" xfId="0" applyFont="1" applyFill="1" applyBorder="1" applyAlignment="1">
      <alignment wrapText="1"/>
    </xf>
    <xf numFmtId="17" fontId="9" fillId="0" borderId="0" xfId="0" applyNumberFormat="1" applyFont="1"/>
    <xf numFmtId="0" fontId="9" fillId="0" borderId="86" xfId="0" applyFont="1" applyBorder="1"/>
    <xf numFmtId="0" fontId="9" fillId="0" borderId="74" xfId="0" applyFont="1" applyBorder="1"/>
    <xf numFmtId="0" fontId="9" fillId="0" borderId="109" xfId="0" applyFont="1" applyBorder="1"/>
    <xf numFmtId="17" fontId="9" fillId="0" borderId="85" xfId="0" applyNumberFormat="1" applyFont="1" applyBorder="1" applyAlignment="1">
      <alignment horizontal="center"/>
    </xf>
    <xf numFmtId="17" fontId="9" fillId="0" borderId="85" xfId="0" applyNumberFormat="1" applyFont="1" applyBorder="1"/>
    <xf numFmtId="170" fontId="11" fillId="0" borderId="2" xfId="0" applyNumberFormat="1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0" fillId="15" borderId="30" xfId="0" applyFont="1" applyFill="1" applyBorder="1" applyAlignment="1">
      <alignment horizontal="center"/>
    </xf>
    <xf numFmtId="0" fontId="10" fillId="15" borderId="44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10" fillId="15" borderId="31" xfId="0" applyFont="1" applyFill="1" applyBorder="1" applyAlignment="1">
      <alignment horizontal="center"/>
    </xf>
    <xf numFmtId="0" fontId="10" fillId="15" borderId="117" xfId="0" applyFont="1" applyFill="1" applyBorder="1" applyAlignment="1">
      <alignment horizontal="center"/>
    </xf>
    <xf numFmtId="0" fontId="10" fillId="15" borderId="3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25" xfId="0" applyFont="1" applyFill="1" applyBorder="1" applyAlignment="1">
      <alignment horizontal="center"/>
    </xf>
    <xf numFmtId="0" fontId="1" fillId="16" borderId="24" xfId="0" applyFont="1" applyFill="1" applyBorder="1" applyAlignment="1">
      <alignment horizontal="center"/>
    </xf>
    <xf numFmtId="165" fontId="1" fillId="16" borderId="24" xfId="0" applyNumberFormat="1" applyFont="1" applyFill="1" applyBorder="1" applyAlignment="1">
      <alignment horizontal="center"/>
    </xf>
    <xf numFmtId="9" fontId="1" fillId="16" borderId="2" xfId="0" applyNumberFormat="1" applyFont="1" applyFill="1" applyBorder="1" applyAlignment="1">
      <alignment horizontal="center"/>
    </xf>
    <xf numFmtId="0" fontId="9" fillId="16" borderId="32" xfId="0" applyFont="1" applyFill="1" applyBorder="1" applyAlignment="1">
      <alignment horizontal="left"/>
    </xf>
    <xf numFmtId="0" fontId="1" fillId="16" borderId="44" xfId="0" applyFont="1" applyFill="1" applyBorder="1" applyAlignment="1">
      <alignment horizontal="center"/>
    </xf>
    <xf numFmtId="0" fontId="1" fillId="16" borderId="43" xfId="0" applyFont="1" applyFill="1" applyBorder="1" applyAlignment="1">
      <alignment horizontal="center"/>
    </xf>
    <xf numFmtId="0" fontId="1" fillId="16" borderId="42" xfId="0" applyFont="1" applyFill="1" applyBorder="1" applyAlignment="1">
      <alignment horizontal="center"/>
    </xf>
    <xf numFmtId="165" fontId="1" fillId="16" borderId="42" xfId="0" applyNumberFormat="1" applyFont="1" applyFill="1" applyBorder="1" applyAlignment="1">
      <alignment horizontal="center"/>
    </xf>
    <xf numFmtId="0" fontId="9" fillId="16" borderId="2" xfId="0" applyFont="1" applyFill="1" applyBorder="1" applyAlignment="1">
      <alignment horizontal="left"/>
    </xf>
    <xf numFmtId="0" fontId="9" fillId="16" borderId="44" xfId="0" applyFont="1" applyFill="1" applyBorder="1" applyAlignment="1">
      <alignment horizontal="left"/>
    </xf>
    <xf numFmtId="0" fontId="1" fillId="16" borderId="117" xfId="0" applyFont="1" applyFill="1" applyBorder="1" applyAlignment="1">
      <alignment horizontal="center"/>
    </xf>
    <xf numFmtId="0" fontId="1" fillId="16" borderId="32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1" fillId="16" borderId="30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34" fillId="0" borderId="0" xfId="0" applyFont="1"/>
    <xf numFmtId="0" fontId="35" fillId="0" borderId="0" xfId="0" applyFont="1"/>
    <xf numFmtId="0" fontId="30" fillId="0" borderId="0" xfId="0" applyFont="1" applyAlignment="1">
      <alignment horizontal="left"/>
    </xf>
    <xf numFmtId="0" fontId="35" fillId="4" borderId="1" xfId="0" applyFont="1" applyFill="1" applyBorder="1"/>
    <xf numFmtId="0" fontId="37" fillId="0" borderId="0" xfId="0" applyFont="1"/>
    <xf numFmtId="0" fontId="42" fillId="0" borderId="0" xfId="0" applyFont="1"/>
    <xf numFmtId="0" fontId="43" fillId="19" borderId="123" xfId="0" applyFont="1" applyFill="1" applyBorder="1" applyAlignment="1">
      <alignment horizontal="center"/>
    </xf>
    <xf numFmtId="0" fontId="43" fillId="19" borderId="124" xfId="0" applyFont="1" applyFill="1" applyBorder="1" applyAlignment="1">
      <alignment horizontal="center"/>
    </xf>
    <xf numFmtId="0" fontId="43" fillId="19" borderId="125" xfId="0" applyFont="1" applyFill="1" applyBorder="1" applyAlignment="1">
      <alignment horizontal="center"/>
    </xf>
    <xf numFmtId="0" fontId="43" fillId="22" borderId="124" xfId="0" applyFont="1" applyFill="1" applyBorder="1" applyAlignment="1">
      <alignment horizontal="center"/>
    </xf>
    <xf numFmtId="0" fontId="43" fillId="15" borderId="124" xfId="0" applyFont="1" applyFill="1" applyBorder="1" applyAlignment="1">
      <alignment horizontal="center"/>
    </xf>
    <xf numFmtId="0" fontId="43" fillId="15" borderId="124" xfId="0" applyFont="1" applyFill="1" applyBorder="1" applyAlignment="1">
      <alignment horizontal="center" vertical="top"/>
    </xf>
    <xf numFmtId="0" fontId="9" fillId="16" borderId="2" xfId="0" applyFont="1" applyFill="1" applyBorder="1" applyAlignment="1">
      <alignment horizontal="center"/>
    </xf>
    <xf numFmtId="0" fontId="9" fillId="23" borderId="2" xfId="0" applyFont="1" applyFill="1" applyBorder="1" applyAlignment="1">
      <alignment horizontal="center"/>
    </xf>
    <xf numFmtId="0" fontId="9" fillId="24" borderId="2" xfId="0" applyFont="1" applyFill="1" applyBorder="1" applyAlignment="1">
      <alignment horizontal="center"/>
    </xf>
    <xf numFmtId="0" fontId="9" fillId="25" borderId="2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42" fillId="0" borderId="3" xfId="0" applyFont="1" applyBorder="1"/>
    <xf numFmtId="0" fontId="35" fillId="0" borderId="3" xfId="0" applyFont="1" applyBorder="1" applyAlignment="1">
      <alignment horizontal="center"/>
    </xf>
    <xf numFmtId="0" fontId="35" fillId="0" borderId="3" xfId="0" applyFont="1" applyBorder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3" xfId="0" applyFont="1" applyBorder="1"/>
    <xf numFmtId="0" fontId="43" fillId="19" borderId="31" xfId="0" applyFont="1" applyFill="1" applyBorder="1" applyAlignment="1">
      <alignment horizontal="center"/>
    </xf>
    <xf numFmtId="0" fontId="43" fillId="19" borderId="1" xfId="0" applyFont="1" applyFill="1" applyBorder="1" applyAlignment="1">
      <alignment horizontal="center"/>
    </xf>
    <xf numFmtId="0" fontId="43" fillId="19" borderId="3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left"/>
    </xf>
    <xf numFmtId="168" fontId="9" fillId="13" borderId="2" xfId="0" applyNumberFormat="1" applyFont="1" applyFill="1" applyBorder="1" applyAlignment="1">
      <alignment horizontal="center"/>
    </xf>
    <xf numFmtId="0" fontId="9" fillId="13" borderId="2" xfId="0" applyFont="1" applyFill="1" applyBorder="1" applyAlignment="1">
      <alignment horizontal="center"/>
    </xf>
    <xf numFmtId="0" fontId="1" fillId="0" borderId="2" xfId="0" applyFont="1" applyBorder="1"/>
    <xf numFmtId="0" fontId="43" fillId="19" borderId="126" xfId="0" applyFont="1" applyFill="1" applyBorder="1" applyAlignment="1">
      <alignment horizontal="center"/>
    </xf>
    <xf numFmtId="0" fontId="43" fillId="19" borderId="29" xfId="0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1" fillId="13" borderId="2" xfId="0" applyFont="1" applyFill="1" applyBorder="1"/>
    <xf numFmtId="168" fontId="1" fillId="13" borderId="2" xfId="0" applyNumberFormat="1" applyFont="1" applyFill="1" applyBorder="1"/>
    <xf numFmtId="0" fontId="9" fillId="0" borderId="67" xfId="0" applyFont="1" applyBorder="1" applyAlignment="1">
      <alignment horizontal="left"/>
    </xf>
    <xf numFmtId="0" fontId="1" fillId="0" borderId="97" xfId="0" applyFont="1" applyBorder="1"/>
    <xf numFmtId="0" fontId="9" fillId="0" borderId="0" xfId="0" applyFont="1" applyAlignment="1">
      <alignment horizontal="center"/>
    </xf>
    <xf numFmtId="0" fontId="1" fillId="0" borderId="67" xfId="0" applyFont="1" applyBorder="1"/>
    <xf numFmtId="0" fontId="1" fillId="0" borderId="91" xfId="0" applyFont="1" applyBorder="1"/>
    <xf numFmtId="0" fontId="1" fillId="0" borderId="127" xfId="0" applyFont="1" applyBorder="1"/>
    <xf numFmtId="0" fontId="2" fillId="0" borderId="0" xfId="0" applyFont="1"/>
    <xf numFmtId="0" fontId="1" fillId="0" borderId="118" xfId="0" applyFont="1" applyBorder="1"/>
    <xf numFmtId="0" fontId="1" fillId="0" borderId="119" xfId="0" applyFont="1" applyBorder="1"/>
    <xf numFmtId="0" fontId="1" fillId="0" borderId="128" xfId="0" applyFont="1" applyBorder="1"/>
    <xf numFmtId="0" fontId="1" fillId="0" borderId="129" xfId="0" applyFont="1" applyBorder="1"/>
    <xf numFmtId="0" fontId="10" fillId="28" borderId="2" xfId="0" applyFont="1" applyFill="1" applyBorder="1" applyAlignment="1">
      <alignment horizontal="center"/>
    </xf>
    <xf numFmtId="0" fontId="10" fillId="28" borderId="26" xfId="0" applyFont="1" applyFill="1" applyBorder="1" applyAlignment="1">
      <alignment horizontal="center"/>
    </xf>
    <xf numFmtId="0" fontId="10" fillId="29" borderId="26" xfId="0" applyFont="1" applyFill="1" applyBorder="1" applyAlignment="1">
      <alignment horizontal="center"/>
    </xf>
    <xf numFmtId="0" fontId="1" fillId="31" borderId="1" xfId="0" applyFont="1" applyFill="1" applyBorder="1"/>
    <xf numFmtId="0" fontId="1" fillId="31" borderId="117" xfId="0" applyFont="1" applyFill="1" applyBorder="1" applyAlignment="1">
      <alignment horizontal="right"/>
    </xf>
    <xf numFmtId="168" fontId="9" fillId="31" borderId="42" xfId="0" applyNumberFormat="1" applyFont="1" applyFill="1" applyBorder="1"/>
    <xf numFmtId="168" fontId="1" fillId="31" borderId="30" xfId="0" applyNumberFormat="1" applyFont="1" applyFill="1" applyBorder="1"/>
    <xf numFmtId="168" fontId="1" fillId="31" borderId="44" xfId="0" applyNumberFormat="1" applyFont="1" applyFill="1" applyBorder="1"/>
    <xf numFmtId="168" fontId="1" fillId="31" borderId="2" xfId="0" applyNumberFormat="1" applyFont="1" applyFill="1" applyBorder="1"/>
    <xf numFmtId="168" fontId="1" fillId="31" borderId="42" xfId="0" applyNumberFormat="1" applyFont="1" applyFill="1" applyBorder="1"/>
    <xf numFmtId="0" fontId="1" fillId="31" borderId="43" xfId="0" applyFont="1" applyFill="1" applyBorder="1"/>
    <xf numFmtId="0" fontId="1" fillId="31" borderId="30" xfId="0" applyFont="1" applyFill="1" applyBorder="1" applyAlignment="1">
      <alignment horizontal="right"/>
    </xf>
    <xf numFmtId="0" fontId="1" fillId="32" borderId="1" xfId="0" applyFont="1" applyFill="1" applyBorder="1"/>
    <xf numFmtId="0" fontId="1" fillId="32" borderId="117" xfId="0" applyFont="1" applyFill="1" applyBorder="1" applyAlignment="1">
      <alignment horizontal="right"/>
    </xf>
    <xf numFmtId="168" fontId="9" fillId="32" borderId="42" xfId="0" applyNumberFormat="1" applyFont="1" applyFill="1" applyBorder="1"/>
    <xf numFmtId="168" fontId="1" fillId="32" borderId="2" xfId="0" applyNumberFormat="1" applyFont="1" applyFill="1" applyBorder="1"/>
    <xf numFmtId="0" fontId="1" fillId="32" borderId="43" xfId="0" applyFont="1" applyFill="1" applyBorder="1"/>
    <xf numFmtId="0" fontId="1" fillId="32" borderId="30" xfId="0" applyFont="1" applyFill="1" applyBorder="1" applyAlignment="1">
      <alignment horizontal="right"/>
    </xf>
    <xf numFmtId="168" fontId="9" fillId="32" borderId="30" xfId="0" applyNumberFormat="1" applyFont="1" applyFill="1" applyBorder="1"/>
    <xf numFmtId="0" fontId="1" fillId="33" borderId="1" xfId="0" applyFont="1" applyFill="1" applyBorder="1"/>
    <xf numFmtId="0" fontId="1" fillId="33" borderId="117" xfId="0" applyFont="1" applyFill="1" applyBorder="1" applyAlignment="1">
      <alignment horizontal="right"/>
    </xf>
    <xf numFmtId="168" fontId="9" fillId="33" borderId="42" xfId="0" applyNumberFormat="1" applyFont="1" applyFill="1" applyBorder="1"/>
    <xf numFmtId="168" fontId="1" fillId="33" borderId="2" xfId="0" applyNumberFormat="1" applyFont="1" applyFill="1" applyBorder="1"/>
    <xf numFmtId="0" fontId="1" fillId="33" borderId="43" xfId="0" applyFont="1" applyFill="1" applyBorder="1"/>
    <xf numFmtId="0" fontId="1" fillId="33" borderId="30" xfId="0" applyFont="1" applyFill="1" applyBorder="1" applyAlignment="1">
      <alignment horizontal="right"/>
    </xf>
    <xf numFmtId="0" fontId="1" fillId="24" borderId="1" xfId="0" applyFont="1" applyFill="1" applyBorder="1"/>
    <xf numFmtId="0" fontId="1" fillId="24" borderId="117" xfId="0" applyFont="1" applyFill="1" applyBorder="1" applyAlignment="1">
      <alignment horizontal="right"/>
    </xf>
    <xf numFmtId="168" fontId="9" fillId="24" borderId="42" xfId="0" applyNumberFormat="1" applyFont="1" applyFill="1" applyBorder="1"/>
    <xf numFmtId="168" fontId="1" fillId="24" borderId="2" xfId="0" applyNumberFormat="1" applyFont="1" applyFill="1" applyBorder="1"/>
    <xf numFmtId="0" fontId="1" fillId="24" borderId="43" xfId="0" applyFont="1" applyFill="1" applyBorder="1"/>
    <xf numFmtId="0" fontId="1" fillId="24" borderId="30" xfId="0" applyFont="1" applyFill="1" applyBorder="1" applyAlignment="1">
      <alignment horizontal="right"/>
    </xf>
    <xf numFmtId="0" fontId="9" fillId="24" borderId="1" xfId="0" applyFont="1" applyFill="1" applyBorder="1"/>
    <xf numFmtId="0" fontId="9" fillId="24" borderId="43" xfId="0" applyFont="1" applyFill="1" applyBorder="1"/>
    <xf numFmtId="0" fontId="9" fillId="24" borderId="29" xfId="0" applyFont="1" applyFill="1" applyBorder="1"/>
    <xf numFmtId="0" fontId="9" fillId="24" borderId="29" xfId="0" applyFont="1" applyFill="1" applyBorder="1" applyAlignment="1">
      <alignment horizontal="right"/>
    </xf>
    <xf numFmtId="168" fontId="1" fillId="24" borderId="44" xfId="0" applyNumberFormat="1" applyFont="1" applyFill="1" applyBorder="1"/>
    <xf numFmtId="0" fontId="9" fillId="24" borderId="32" xfId="0" applyFont="1" applyFill="1" applyBorder="1"/>
    <xf numFmtId="0" fontId="9" fillId="24" borderId="32" xfId="0" applyFont="1" applyFill="1" applyBorder="1" applyAlignment="1">
      <alignment horizontal="right"/>
    </xf>
    <xf numFmtId="0" fontId="9" fillId="24" borderId="44" xfId="0" applyFont="1" applyFill="1" applyBorder="1"/>
    <xf numFmtId="0" fontId="9" fillId="24" borderId="44" xfId="0" applyFont="1" applyFill="1" applyBorder="1" applyAlignment="1">
      <alignment horizontal="right"/>
    </xf>
    <xf numFmtId="0" fontId="10" fillId="15" borderId="126" xfId="0" applyFont="1" applyFill="1" applyBorder="1" applyAlignment="1">
      <alignment horizontal="center"/>
    </xf>
    <xf numFmtId="0" fontId="10" fillId="15" borderId="29" xfId="0" applyFont="1" applyFill="1" applyBorder="1" applyAlignment="1">
      <alignment horizontal="center"/>
    </xf>
    <xf numFmtId="0" fontId="29" fillId="0" borderId="15" xfId="0" applyFont="1" applyBorder="1" applyAlignment="1">
      <alignment horizontal="left"/>
    </xf>
    <xf numFmtId="0" fontId="11" fillId="0" borderId="138" xfId="0" applyFont="1" applyBorder="1"/>
    <xf numFmtId="0" fontId="11" fillId="0" borderId="139" xfId="0" applyFont="1" applyBorder="1"/>
    <xf numFmtId="0" fontId="11" fillId="0" borderId="67" xfId="0" applyFont="1" applyBorder="1"/>
    <xf numFmtId="0" fontId="11" fillId="0" borderId="97" xfId="0" applyFont="1" applyBorder="1"/>
    <xf numFmtId="0" fontId="11" fillId="0" borderId="91" xfId="0" applyFont="1" applyBorder="1"/>
    <xf numFmtId="0" fontId="11" fillId="0" borderId="129" xfId="0" applyFont="1" applyBorder="1"/>
    <xf numFmtId="0" fontId="11" fillId="0" borderId="127" xfId="0" applyFont="1" applyBorder="1"/>
    <xf numFmtId="0" fontId="45" fillId="0" borderId="0" xfId="0" applyFont="1"/>
    <xf numFmtId="0" fontId="45" fillId="0" borderId="0" xfId="0" applyFont="1" applyAlignment="1">
      <alignment horizontal="center"/>
    </xf>
    <xf numFmtId="0" fontId="46" fillId="35" borderId="126" xfId="0" applyFont="1" applyFill="1" applyBorder="1" applyAlignment="1">
      <alignment horizontal="center"/>
    </xf>
    <xf numFmtId="0" fontId="46" fillId="35" borderId="29" xfId="0" applyFont="1" applyFill="1" applyBorder="1" applyAlignment="1">
      <alignment horizontal="center"/>
    </xf>
    <xf numFmtId="0" fontId="45" fillId="0" borderId="66" xfId="0" applyFont="1" applyBorder="1" applyAlignment="1">
      <alignment horizontal="center"/>
    </xf>
    <xf numFmtId="0" fontId="45" fillId="0" borderId="97" xfId="0" applyFont="1" applyBorder="1" applyAlignment="1">
      <alignment horizontal="center"/>
    </xf>
    <xf numFmtId="167" fontId="45" fillId="0" borderId="97" xfId="0" applyNumberFormat="1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5" fillId="4" borderId="117" xfId="0" applyFont="1" applyFill="1" applyBorder="1" applyAlignment="1">
      <alignment horizontal="center"/>
    </xf>
    <xf numFmtId="0" fontId="45" fillId="4" borderId="32" xfId="0" applyFont="1" applyFill="1" applyBorder="1" applyAlignment="1">
      <alignment horizontal="center"/>
    </xf>
    <xf numFmtId="9" fontId="45" fillId="4" borderId="32" xfId="0" applyNumberFormat="1" applyFont="1" applyFill="1" applyBorder="1" applyAlignment="1">
      <alignment horizontal="center"/>
    </xf>
    <xf numFmtId="0" fontId="47" fillId="0" borderId="0" xfId="0" applyFont="1"/>
    <xf numFmtId="0" fontId="48" fillId="15" borderId="2" xfId="0" applyFont="1" applyFill="1" applyBorder="1" applyAlignment="1">
      <alignment horizontal="center"/>
    </xf>
    <xf numFmtId="0" fontId="48" fillId="15" borderId="143" xfId="0" applyFont="1" applyFill="1" applyBorder="1" applyAlignment="1">
      <alignment horizontal="center"/>
    </xf>
    <xf numFmtId="0" fontId="49" fillId="4" borderId="1" xfId="0" applyFont="1" applyFill="1" applyBorder="1"/>
    <xf numFmtId="0" fontId="50" fillId="31" borderId="30" xfId="0" applyFont="1" applyFill="1" applyBorder="1" applyAlignment="1">
      <alignment horizontal="right"/>
    </xf>
    <xf numFmtId="0" fontId="50" fillId="31" borderId="25" xfId="0" applyFont="1" applyFill="1" applyBorder="1"/>
    <xf numFmtId="0" fontId="50" fillId="31" borderId="2" xfId="0" applyFont="1" applyFill="1" applyBorder="1"/>
    <xf numFmtId="0" fontId="50" fillId="31" borderId="26" xfId="0" applyFont="1" applyFill="1" applyBorder="1" applyAlignment="1">
      <alignment horizontal="right"/>
    </xf>
    <xf numFmtId="168" fontId="50" fillId="31" borderId="26" xfId="0" applyNumberFormat="1" applyFont="1" applyFill="1" applyBorder="1"/>
    <xf numFmtId="0" fontId="50" fillId="31" borderId="2" xfId="0" applyFont="1" applyFill="1" applyBorder="1" applyAlignment="1">
      <alignment horizontal="right"/>
    </xf>
    <xf numFmtId="0" fontId="50" fillId="31" borderId="25" xfId="0" applyFont="1" applyFill="1" applyBorder="1" applyAlignment="1">
      <alignment horizontal="center"/>
    </xf>
    <xf numFmtId="0" fontId="50" fillId="31" borderId="42" xfId="0" applyFont="1" applyFill="1" applyBorder="1" applyAlignment="1">
      <alignment horizontal="center"/>
    </xf>
    <xf numFmtId="0" fontId="50" fillId="31" borderId="25" xfId="0" applyFont="1" applyFill="1" applyBorder="1" applyAlignment="1">
      <alignment horizontal="right"/>
    </xf>
    <xf numFmtId="0" fontId="50" fillId="31" borderId="43" xfId="0" applyFont="1" applyFill="1" applyBorder="1"/>
    <xf numFmtId="0" fontId="50" fillId="31" borderId="30" xfId="0" applyFont="1" applyFill="1" applyBorder="1"/>
    <xf numFmtId="0" fontId="50" fillId="31" borderId="44" xfId="0" applyFont="1" applyFill="1" applyBorder="1" applyAlignment="1">
      <alignment horizontal="right"/>
    </xf>
    <xf numFmtId="168" fontId="50" fillId="31" borderId="44" xfId="0" applyNumberFormat="1" applyFont="1" applyFill="1" applyBorder="1"/>
    <xf numFmtId="0" fontId="50" fillId="31" borderId="43" xfId="0" applyFont="1" applyFill="1" applyBorder="1" applyAlignment="1">
      <alignment horizontal="center"/>
    </xf>
    <xf numFmtId="0" fontId="50" fillId="31" borderId="43" xfId="0" applyFont="1" applyFill="1" applyBorder="1" applyAlignment="1">
      <alignment horizontal="right"/>
    </xf>
    <xf numFmtId="0" fontId="50" fillId="31" borderId="117" xfId="0" applyFont="1" applyFill="1" applyBorder="1" applyAlignment="1">
      <alignment horizontal="right"/>
    </xf>
    <xf numFmtId="0" fontId="50" fillId="31" borderId="1" xfId="0" applyFont="1" applyFill="1" applyBorder="1"/>
    <xf numFmtId="0" fontId="50" fillId="31" borderId="117" xfId="0" applyFont="1" applyFill="1" applyBorder="1"/>
    <xf numFmtId="0" fontId="50" fillId="31" borderId="126" xfId="0" applyFont="1" applyFill="1" applyBorder="1" applyAlignment="1">
      <alignment horizontal="right"/>
    </xf>
    <xf numFmtId="0" fontId="50" fillId="31" borderId="28" xfId="0" applyFont="1" applyFill="1" applyBorder="1"/>
    <xf numFmtId="0" fontId="50" fillId="31" borderId="126" xfId="0" applyFont="1" applyFill="1" applyBorder="1"/>
    <xf numFmtId="0" fontId="50" fillId="31" borderId="32" xfId="0" applyFont="1" applyFill="1" applyBorder="1" applyAlignment="1">
      <alignment horizontal="right"/>
    </xf>
    <xf numFmtId="168" fontId="50" fillId="31" borderId="32" xfId="0" applyNumberFormat="1" applyFont="1" applyFill="1" applyBorder="1"/>
    <xf numFmtId="0" fontId="50" fillId="31" borderId="29" xfId="0" applyFont="1" applyFill="1" applyBorder="1" applyAlignment="1">
      <alignment horizontal="right"/>
    </xf>
    <xf numFmtId="0" fontId="50" fillId="31" borderId="1" xfId="0" applyFont="1" applyFill="1" applyBorder="1" applyAlignment="1">
      <alignment horizontal="center"/>
    </xf>
    <xf numFmtId="0" fontId="50" fillId="31" borderId="31" xfId="0" applyFont="1" applyFill="1" applyBorder="1" applyAlignment="1">
      <alignment horizontal="center"/>
    </xf>
    <xf numFmtId="0" fontId="50" fillId="31" borderId="1" xfId="0" applyFont="1" applyFill="1" applyBorder="1" applyAlignment="1">
      <alignment horizontal="right"/>
    </xf>
    <xf numFmtId="0" fontId="51" fillId="0" borderId="66" xfId="0" applyFont="1" applyBorder="1" applyAlignment="1">
      <alignment horizontal="right"/>
    </xf>
    <xf numFmtId="0" fontId="50" fillId="36" borderId="30" xfId="0" applyFont="1" applyFill="1" applyBorder="1" applyAlignment="1">
      <alignment horizontal="right"/>
    </xf>
    <xf numFmtId="0" fontId="50" fillId="36" borderId="26" xfId="0" applyFont="1" applyFill="1" applyBorder="1"/>
    <xf numFmtId="0" fontId="50" fillId="36" borderId="26" xfId="0" applyFont="1" applyFill="1" applyBorder="1" applyAlignment="1">
      <alignment horizontal="right"/>
    </xf>
    <xf numFmtId="168" fontId="50" fillId="36" borderId="26" xfId="0" applyNumberFormat="1" applyFont="1" applyFill="1" applyBorder="1"/>
    <xf numFmtId="0" fontId="50" fillId="36" borderId="26" xfId="0" applyFont="1" applyFill="1" applyBorder="1" applyAlignment="1">
      <alignment horizontal="center"/>
    </xf>
    <xf numFmtId="0" fontId="1" fillId="4" borderId="1" xfId="0" applyFont="1" applyFill="1" applyBorder="1"/>
    <xf numFmtId="0" fontId="50" fillId="36" borderId="44" xfId="0" applyFont="1" applyFill="1" applyBorder="1"/>
    <xf numFmtId="0" fontId="50" fillId="36" borderId="44" xfId="0" applyFont="1" applyFill="1" applyBorder="1" applyAlignment="1">
      <alignment horizontal="right"/>
    </xf>
    <xf numFmtId="168" fontId="50" fillId="36" borderId="44" xfId="0" applyNumberFormat="1" applyFont="1" applyFill="1" applyBorder="1"/>
    <xf numFmtId="0" fontId="50" fillId="36" borderId="44" xfId="0" applyFont="1" applyFill="1" applyBorder="1" applyAlignment="1">
      <alignment horizontal="center"/>
    </xf>
    <xf numFmtId="0" fontId="50" fillId="10" borderId="30" xfId="0" applyFont="1" applyFill="1" applyBorder="1" applyAlignment="1">
      <alignment horizontal="right"/>
    </xf>
    <xf numFmtId="0" fontId="50" fillId="10" borderId="44" xfId="0" applyFont="1" applyFill="1" applyBorder="1"/>
    <xf numFmtId="0" fontId="50" fillId="10" borderId="44" xfId="0" applyFont="1" applyFill="1" applyBorder="1" applyAlignment="1">
      <alignment horizontal="right"/>
    </xf>
    <xf numFmtId="168" fontId="50" fillId="10" borderId="44" xfId="0" applyNumberFormat="1" applyFont="1" applyFill="1" applyBorder="1"/>
    <xf numFmtId="0" fontId="50" fillId="10" borderId="44" xfId="0" applyFont="1" applyFill="1" applyBorder="1" applyAlignment="1">
      <alignment horizontal="center"/>
    </xf>
    <xf numFmtId="0" fontId="50" fillId="4" borderId="1" xfId="0" applyFont="1" applyFill="1" applyBorder="1"/>
    <xf numFmtId="0" fontId="1" fillId="4" borderId="1" xfId="0" applyFont="1" applyFill="1" applyBorder="1" applyAlignment="1">
      <alignment horizontal="right"/>
    </xf>
    <xf numFmtId="0" fontId="52" fillId="0" borderId="0" xfId="0" applyFont="1"/>
    <xf numFmtId="0" fontId="53" fillId="4" borderId="1" xfId="0" applyFont="1" applyFill="1" applyBorder="1"/>
    <xf numFmtId="0" fontId="54" fillId="4" borderId="1" xfId="0" applyFont="1" applyFill="1" applyBorder="1"/>
    <xf numFmtId="0" fontId="55" fillId="0" borderId="0" xfId="0" applyFont="1"/>
    <xf numFmtId="0" fontId="52" fillId="0" borderId="2" xfId="0" applyFont="1" applyBorder="1"/>
    <xf numFmtId="0" fontId="52" fillId="2" borderId="2" xfId="0" applyFont="1" applyFill="1" applyBorder="1"/>
    <xf numFmtId="0" fontId="52" fillId="10" borderId="2" xfId="0" applyFont="1" applyFill="1" applyBorder="1"/>
    <xf numFmtId="0" fontId="50" fillId="0" borderId="15" xfId="0" applyFont="1" applyBorder="1"/>
    <xf numFmtId="0" fontId="50" fillId="0" borderId="2" xfId="0" applyFont="1" applyBorder="1"/>
    <xf numFmtId="0" fontId="50" fillId="0" borderId="139" xfId="0" applyFont="1" applyBorder="1" applyAlignment="1">
      <alignment horizontal="center"/>
    </xf>
    <xf numFmtId="0" fontId="50" fillId="0" borderId="2" xfId="0" applyFont="1" applyBorder="1" applyAlignment="1">
      <alignment horizontal="center"/>
    </xf>
    <xf numFmtId="0" fontId="50" fillId="0" borderId="91" xfId="0" applyFont="1" applyBorder="1"/>
    <xf numFmtId="0" fontId="50" fillId="0" borderId="41" xfId="0" applyFont="1" applyBorder="1"/>
    <xf numFmtId="0" fontId="50" fillId="0" borderId="127" xfId="0" applyFont="1" applyBorder="1" applyAlignment="1">
      <alignment horizontal="center"/>
    </xf>
    <xf numFmtId="0" fontId="50" fillId="0" borderId="41" xfId="0" applyFont="1" applyBorder="1" applyAlignment="1">
      <alignment horizontal="center"/>
    </xf>
    <xf numFmtId="0" fontId="50" fillId="0" borderId="67" xfId="0" applyFont="1" applyBorder="1"/>
    <xf numFmtId="0" fontId="50" fillId="0" borderId="66" xfId="0" applyFont="1" applyBorder="1"/>
    <xf numFmtId="0" fontId="50" fillId="0" borderId="118" xfId="0" applyFont="1" applyBorder="1"/>
    <xf numFmtId="0" fontId="50" fillId="0" borderId="144" xfId="0" applyFont="1" applyBorder="1"/>
    <xf numFmtId="0" fontId="50" fillId="0" borderId="66" xfId="0" applyFont="1" applyBorder="1" applyAlignment="1">
      <alignment horizontal="center"/>
    </xf>
    <xf numFmtId="0" fontId="50" fillId="0" borderId="97" xfId="0" applyFont="1" applyBorder="1" applyAlignment="1">
      <alignment horizontal="center"/>
    </xf>
    <xf numFmtId="0" fontId="50" fillId="0" borderId="138" xfId="0" applyFont="1" applyBorder="1"/>
    <xf numFmtId="0" fontId="50" fillId="0" borderId="138" xfId="0" applyFont="1" applyBorder="1" applyAlignment="1">
      <alignment horizontal="center"/>
    </xf>
    <xf numFmtId="0" fontId="50" fillId="0" borderId="129" xfId="0" applyFont="1" applyBorder="1"/>
    <xf numFmtId="0" fontId="50" fillId="0" borderId="129" xfId="0" applyFont="1" applyBorder="1" applyAlignment="1">
      <alignment horizontal="center"/>
    </xf>
    <xf numFmtId="0" fontId="50" fillId="0" borderId="0" xfId="0" applyFont="1"/>
    <xf numFmtId="0" fontId="50" fillId="0" borderId="0" xfId="0" applyFont="1" applyAlignment="1">
      <alignment horizontal="center"/>
    </xf>
    <xf numFmtId="0" fontId="50" fillId="0" borderId="119" xfId="0" applyFont="1" applyBorder="1" applyAlignment="1">
      <alignment horizontal="center"/>
    </xf>
    <xf numFmtId="0" fontId="50" fillId="0" borderId="144" xfId="0" applyFont="1" applyBorder="1" applyAlignment="1">
      <alignment horizontal="center"/>
    </xf>
    <xf numFmtId="0" fontId="50" fillId="0" borderId="128" xfId="0" applyFont="1" applyBorder="1" applyAlignment="1">
      <alignment horizontal="center"/>
    </xf>
    <xf numFmtId="0" fontId="0" fillId="0" borderId="0" xfId="0" applyFont="1" applyAlignment="1"/>
    <xf numFmtId="0" fontId="3" fillId="0" borderId="6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5" xfId="0" applyFont="1" applyBorder="1"/>
    <xf numFmtId="0" fontId="3" fillId="0" borderId="4" xfId="0" applyFont="1" applyBorder="1"/>
    <xf numFmtId="0" fontId="6" fillId="0" borderId="4" xfId="0" applyFont="1" applyBorder="1"/>
    <xf numFmtId="0" fontId="5" fillId="0" borderId="17" xfId="0" applyFont="1" applyBorder="1"/>
    <xf numFmtId="0" fontId="6" fillId="0" borderId="4" xfId="0" applyFont="1" applyBorder="1" applyAlignment="1">
      <alignment wrapText="1"/>
    </xf>
    <xf numFmtId="0" fontId="3" fillId="0" borderId="4" xfId="0" applyFont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3" fontId="3" fillId="5" borderId="4" xfId="0" applyNumberFormat="1" applyFont="1" applyFill="1" applyBorder="1"/>
    <xf numFmtId="0" fontId="12" fillId="3" borderId="6" xfId="0" applyFont="1" applyFill="1" applyBorder="1" applyAlignment="1">
      <alignment horizontal="center"/>
    </xf>
    <xf numFmtId="4" fontId="7" fillId="5" borderId="4" xfId="0" applyNumberFormat="1" applyFont="1" applyFill="1" applyBorder="1"/>
    <xf numFmtId="0" fontId="8" fillId="4" borderId="35" xfId="0" applyFont="1" applyFill="1" applyBorder="1" applyAlignment="1">
      <alignment vertical="top" wrapText="1"/>
    </xf>
    <xf numFmtId="0" fontId="5" fillId="0" borderId="37" xfId="0" applyFont="1" applyBorder="1"/>
    <xf numFmtId="0" fontId="5" fillId="0" borderId="36" xfId="0" applyFont="1" applyBorder="1"/>
    <xf numFmtId="0" fontId="8" fillId="4" borderId="35" xfId="0" applyFont="1" applyFill="1" applyBorder="1" applyAlignment="1">
      <alignment vertical="top"/>
    </xf>
    <xf numFmtId="0" fontId="8" fillId="4" borderId="35" xfId="0" applyFont="1" applyFill="1" applyBorder="1"/>
    <xf numFmtId="0" fontId="8" fillId="0" borderId="4" xfId="0" applyFont="1" applyBorder="1"/>
    <xf numFmtId="0" fontId="14" fillId="4" borderId="18" xfId="0" applyFont="1" applyFill="1" applyBorder="1" applyAlignment="1">
      <alignment horizontal="center" wrapText="1"/>
    </xf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20" fillId="4" borderId="35" xfId="0" applyFont="1" applyFill="1" applyBorder="1" applyAlignment="1">
      <alignment horizontal="center"/>
    </xf>
    <xf numFmtId="0" fontId="5" fillId="0" borderId="38" xfId="0" applyFont="1" applyBorder="1"/>
    <xf numFmtId="0" fontId="8" fillId="4" borderId="18" xfId="0" applyFont="1" applyFill="1" applyBorder="1" applyAlignment="1">
      <alignment vertical="top" wrapText="1"/>
    </xf>
    <xf numFmtId="0" fontId="9" fillId="0" borderId="56" xfId="0" applyFont="1" applyBorder="1" applyAlignment="1">
      <alignment horizontal="center"/>
    </xf>
    <xf numFmtId="0" fontId="5" fillId="0" borderId="66" xfId="0" applyFont="1" applyBorder="1"/>
    <xf numFmtId="0" fontId="5" fillId="0" borderId="79" xfId="0" applyFont="1" applyBorder="1"/>
    <xf numFmtId="0" fontId="11" fillId="0" borderId="58" xfId="0" applyFont="1" applyBorder="1" applyAlignment="1">
      <alignment horizontal="center" wrapText="1"/>
    </xf>
    <xf numFmtId="0" fontId="5" fillId="0" borderId="65" xfId="0" applyFont="1" applyBorder="1"/>
    <xf numFmtId="0" fontId="5" fillId="0" borderId="78" xfId="0" applyFont="1" applyBorder="1"/>
    <xf numFmtId="42" fontId="9" fillId="0" borderId="56" xfId="0" applyNumberFormat="1" applyFont="1" applyBorder="1" applyAlignment="1">
      <alignment horizontal="center"/>
    </xf>
    <xf numFmtId="9" fontId="11" fillId="0" borderId="56" xfId="0" applyNumberFormat="1" applyFont="1" applyBorder="1" applyAlignment="1">
      <alignment horizontal="center" wrapText="1"/>
    </xf>
    <xf numFmtId="6" fontId="24" fillId="0" borderId="59" xfId="0" applyNumberFormat="1" applyFont="1" applyBorder="1" applyAlignment="1">
      <alignment horizontal="center" wrapText="1"/>
    </xf>
    <xf numFmtId="0" fontId="5" fillId="0" borderId="67" xfId="0" applyFont="1" applyBorder="1"/>
    <xf numFmtId="0" fontId="5" fillId="0" borderId="80" xfId="0" applyFont="1" applyBorder="1"/>
    <xf numFmtId="0" fontId="9" fillId="0" borderId="56" xfId="0" applyFont="1" applyBorder="1" applyAlignment="1">
      <alignment horizontal="center" wrapText="1"/>
    </xf>
    <xf numFmtId="6" fontId="9" fillId="0" borderId="56" xfId="0" applyNumberFormat="1" applyFont="1" applyBorder="1" applyAlignment="1">
      <alignment horizontal="center"/>
    </xf>
    <xf numFmtId="9" fontId="11" fillId="0" borderId="56" xfId="0" applyNumberFormat="1" applyFont="1" applyBorder="1" applyAlignment="1">
      <alignment horizontal="center"/>
    </xf>
    <xf numFmtId="9" fontId="9" fillId="0" borderId="59" xfId="0" applyNumberFormat="1" applyFont="1" applyBorder="1" applyAlignment="1">
      <alignment horizontal="center"/>
    </xf>
    <xf numFmtId="3" fontId="9" fillId="0" borderId="56" xfId="0" applyNumberFormat="1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6" fontId="24" fillId="0" borderId="56" xfId="0" applyNumberFormat="1" applyFont="1" applyBorder="1" applyAlignment="1">
      <alignment horizontal="center" wrapText="1"/>
    </xf>
    <xf numFmtId="6" fontId="24" fillId="0" borderId="59" xfId="0" applyNumberFormat="1" applyFont="1" applyBorder="1" applyAlignment="1">
      <alignment horizontal="center"/>
    </xf>
    <xf numFmtId="0" fontId="11" fillId="0" borderId="65" xfId="0" applyFont="1" applyBorder="1" applyAlignment="1">
      <alignment horizontal="center" wrapText="1"/>
    </xf>
    <xf numFmtId="0" fontId="9" fillId="0" borderId="66" xfId="0" applyFont="1" applyBorder="1" applyAlignment="1">
      <alignment horizontal="center"/>
    </xf>
    <xf numFmtId="3" fontId="9" fillId="0" borderId="66" xfId="0" applyNumberFormat="1" applyFont="1" applyBorder="1" applyAlignment="1">
      <alignment horizontal="center"/>
    </xf>
    <xf numFmtId="0" fontId="11" fillId="0" borderId="66" xfId="0" applyFont="1" applyBorder="1" applyAlignment="1">
      <alignment horizontal="center"/>
    </xf>
    <xf numFmtId="6" fontId="24" fillId="0" borderId="66" xfId="0" applyNumberFormat="1" applyFont="1" applyBorder="1" applyAlignment="1">
      <alignment horizontal="center" wrapText="1"/>
    </xf>
    <xf numFmtId="6" fontId="24" fillId="0" borderId="92" xfId="0" applyNumberFormat="1" applyFont="1" applyBorder="1" applyAlignment="1">
      <alignment horizontal="center" wrapText="1"/>
    </xf>
    <xf numFmtId="0" fontId="5" fillId="0" borderId="75" xfId="0" applyFont="1" applyBorder="1"/>
    <xf numFmtId="0" fontId="5" fillId="0" borderId="83" xfId="0" applyFont="1" applyBorder="1"/>
    <xf numFmtId="49" fontId="9" fillId="0" borderId="58" xfId="0" applyNumberFormat="1" applyFont="1" applyBorder="1" applyAlignment="1">
      <alignment horizontal="center" wrapText="1"/>
    </xf>
    <xf numFmtId="0" fontId="5" fillId="0" borderId="41" xfId="0" applyFont="1" applyBorder="1"/>
    <xf numFmtId="17" fontId="9" fillId="0" borderId="59" xfId="0" applyNumberFormat="1" applyFont="1" applyBorder="1"/>
    <xf numFmtId="0" fontId="26" fillId="0" borderId="64" xfId="0" applyFont="1" applyBorder="1" applyAlignment="1">
      <alignment horizontal="center" textRotation="255"/>
    </xf>
    <xf numFmtId="0" fontId="5" fillId="0" borderId="72" xfId="0" applyFont="1" applyBorder="1"/>
    <xf numFmtId="0" fontId="5" fillId="0" borderId="74" xfId="0" applyFont="1" applyBorder="1"/>
    <xf numFmtId="0" fontId="11" fillId="0" borderId="71" xfId="0" applyFont="1" applyBorder="1" applyAlignment="1">
      <alignment wrapText="1"/>
    </xf>
    <xf numFmtId="0" fontId="5" fillId="0" borderId="73" xfId="0" applyFont="1" applyBorder="1"/>
    <xf numFmtId="0" fontId="24" fillId="0" borderId="45" xfId="0" applyFont="1" applyBorder="1" applyAlignment="1">
      <alignment horizontal="center"/>
    </xf>
    <xf numFmtId="0" fontId="5" fillId="0" borderId="46" xfId="0" applyFont="1" applyBorder="1"/>
    <xf numFmtId="0" fontId="5" fillId="0" borderId="47" xfId="0" applyFont="1" applyBorder="1"/>
    <xf numFmtId="0" fontId="9" fillId="0" borderId="58" xfId="0" applyFont="1" applyBorder="1" applyAlignment="1">
      <alignment horizontal="center" wrapText="1"/>
    </xf>
    <xf numFmtId="17" fontId="9" fillId="0" borderId="65" xfId="0" applyNumberFormat="1" applyFont="1" applyBorder="1" applyAlignment="1">
      <alignment horizontal="center"/>
    </xf>
    <xf numFmtId="0" fontId="9" fillId="0" borderId="66" xfId="0" applyFont="1" applyBorder="1" applyAlignment="1">
      <alignment horizontal="center" wrapText="1"/>
    </xf>
    <xf numFmtId="17" fontId="9" fillId="0" borderId="67" xfId="0" applyNumberFormat="1" applyFont="1" applyBorder="1"/>
    <xf numFmtId="49" fontId="9" fillId="0" borderId="84" xfId="0" applyNumberFormat="1" applyFont="1" applyBorder="1" applyAlignment="1">
      <alignment horizontal="center" wrapText="1"/>
    </xf>
    <xf numFmtId="0" fontId="5" fillId="0" borderId="85" xfId="0" applyFont="1" applyBorder="1"/>
    <xf numFmtId="0" fontId="5" fillId="0" borderId="86" xfId="0" applyFont="1" applyBorder="1"/>
    <xf numFmtId="0" fontId="27" fillId="0" borderId="63" xfId="0" applyFont="1" applyBorder="1" applyAlignment="1">
      <alignment horizontal="center" textRotation="255"/>
    </xf>
    <xf numFmtId="0" fontId="5" fillId="0" borderId="71" xfId="0" applyFont="1" applyBorder="1"/>
    <xf numFmtId="49" fontId="9" fillId="0" borderId="58" xfId="0" applyNumberFormat="1" applyFont="1" applyBorder="1" applyAlignment="1">
      <alignment horizontal="center"/>
    </xf>
    <xf numFmtId="6" fontId="28" fillId="0" borderId="59" xfId="0" applyNumberFormat="1" applyFont="1" applyBorder="1" applyAlignment="1">
      <alignment horizontal="center"/>
    </xf>
    <xf numFmtId="0" fontId="26" fillId="0" borderId="63" xfId="0" applyFont="1" applyBorder="1" applyAlignment="1">
      <alignment horizontal="center" textRotation="255"/>
    </xf>
    <xf numFmtId="17" fontId="9" fillId="0" borderId="92" xfId="0" applyNumberFormat="1" applyFont="1" applyBorder="1"/>
    <xf numFmtId="49" fontId="9" fillId="0" borderId="95" xfId="0" applyNumberFormat="1" applyFont="1" applyBorder="1" applyAlignment="1">
      <alignment horizontal="center"/>
    </xf>
    <xf numFmtId="0" fontId="5" fillId="0" borderId="97" xfId="0" applyFont="1" applyBorder="1"/>
    <xf numFmtId="0" fontId="5" fillId="0" borderId="100" xfId="0" applyFont="1" applyBorder="1"/>
    <xf numFmtId="0" fontId="25" fillId="0" borderId="63" xfId="0" applyFont="1" applyBorder="1" applyAlignment="1">
      <alignment horizontal="center" textRotation="255"/>
    </xf>
    <xf numFmtId="6" fontId="24" fillId="0" borderId="67" xfId="0" applyNumberFormat="1" applyFont="1" applyBorder="1" applyAlignment="1">
      <alignment horizontal="center" wrapText="1"/>
    </xf>
    <xf numFmtId="0" fontId="9" fillId="0" borderId="58" xfId="0" applyFont="1" applyBorder="1" applyAlignment="1">
      <alignment horizontal="center"/>
    </xf>
    <xf numFmtId="42" fontId="9" fillId="0" borderId="59" xfId="0" applyNumberFormat="1" applyFont="1" applyBorder="1" applyAlignment="1">
      <alignment horizontal="center"/>
    </xf>
    <xf numFmtId="6" fontId="29" fillId="0" borderId="92" xfId="0" applyNumberFormat="1" applyFont="1" applyBorder="1" applyAlignment="1">
      <alignment horizontal="center" wrapText="1"/>
    </xf>
    <xf numFmtId="170" fontId="11" fillId="0" borderId="56" xfId="0" applyNumberFormat="1" applyFont="1" applyBorder="1" applyAlignment="1">
      <alignment horizontal="center"/>
    </xf>
    <xf numFmtId="170" fontId="29" fillId="0" borderId="59" xfId="0" applyNumberFormat="1" applyFont="1" applyBorder="1" applyAlignment="1">
      <alignment horizontal="center" wrapText="1"/>
    </xf>
    <xf numFmtId="0" fontId="9" fillId="0" borderId="65" xfId="0" applyFont="1" applyBorder="1" applyAlignment="1">
      <alignment horizontal="center" wrapText="1"/>
    </xf>
    <xf numFmtId="6" fontId="9" fillId="0" borderId="66" xfId="0" applyNumberFormat="1" applyFont="1" applyBorder="1" applyAlignment="1">
      <alignment horizontal="center"/>
    </xf>
    <xf numFmtId="10" fontId="29" fillId="0" borderId="75" xfId="0" applyNumberFormat="1" applyFont="1" applyBorder="1" applyAlignment="1">
      <alignment horizontal="center"/>
    </xf>
    <xf numFmtId="9" fontId="29" fillId="0" borderId="92" xfId="0" applyNumberFormat="1" applyFont="1" applyBorder="1" applyAlignment="1">
      <alignment horizontal="center"/>
    </xf>
    <xf numFmtId="9" fontId="29" fillId="0" borderId="92" xfId="0" applyNumberFormat="1" applyFont="1" applyBorder="1" applyAlignment="1">
      <alignment horizontal="center" wrapText="1"/>
    </xf>
    <xf numFmtId="9" fontId="24" fillId="0" borderId="92" xfId="0" applyNumberFormat="1" applyFont="1" applyBorder="1" applyAlignment="1">
      <alignment horizontal="center"/>
    </xf>
    <xf numFmtId="42" fontId="9" fillId="0" borderId="66" xfId="0" applyNumberFormat="1" applyFont="1" applyBorder="1" applyAlignment="1">
      <alignment horizontal="center"/>
    </xf>
    <xf numFmtId="9" fontId="11" fillId="0" borderId="66" xfId="0" applyNumberFormat="1" applyFont="1" applyBorder="1" applyAlignment="1">
      <alignment horizontal="center" wrapText="1"/>
    </xf>
    <xf numFmtId="0" fontId="9" fillId="0" borderId="63" xfId="0" applyFont="1" applyBorder="1" applyAlignment="1">
      <alignment horizontal="center" wrapText="1"/>
    </xf>
    <xf numFmtId="17" fontId="9" fillId="0" borderId="67" xfId="0" applyNumberFormat="1" applyFont="1" applyBorder="1" applyAlignment="1">
      <alignment horizontal="center"/>
    </xf>
    <xf numFmtId="17" fontId="9" fillId="0" borderId="58" xfId="0" applyNumberFormat="1" applyFont="1" applyBorder="1" applyAlignment="1">
      <alignment horizontal="center"/>
    </xf>
    <xf numFmtId="17" fontId="9" fillId="0" borderId="59" xfId="0" applyNumberFormat="1" applyFont="1" applyBorder="1" applyAlignment="1">
      <alignment horizontal="center"/>
    </xf>
    <xf numFmtId="17" fontId="9" fillId="0" borderId="58" xfId="0" applyNumberFormat="1" applyFont="1" applyBorder="1" applyAlignment="1">
      <alignment horizontal="center" wrapText="1"/>
    </xf>
    <xf numFmtId="17" fontId="9" fillId="0" borderId="65" xfId="0" applyNumberFormat="1" applyFont="1" applyBorder="1" applyAlignment="1">
      <alignment horizontal="center" wrapText="1"/>
    </xf>
    <xf numFmtId="17" fontId="9" fillId="0" borderId="92" xfId="0" applyNumberFormat="1" applyFont="1" applyBorder="1" applyAlignment="1">
      <alignment horizontal="center"/>
    </xf>
    <xf numFmtId="0" fontId="32" fillId="0" borderId="71" xfId="0" applyFont="1" applyBorder="1" applyAlignment="1">
      <alignment wrapText="1"/>
    </xf>
    <xf numFmtId="0" fontId="11" fillId="12" borderId="63" xfId="0" applyFont="1" applyFill="1" applyBorder="1" applyAlignment="1">
      <alignment horizontal="center" vertical="top" textRotation="255"/>
    </xf>
    <xf numFmtId="49" fontId="9" fillId="0" borderId="108" xfId="0" applyNumberFormat="1" applyFont="1" applyBorder="1" applyAlignment="1">
      <alignment horizontal="center"/>
    </xf>
    <xf numFmtId="0" fontId="5" fillId="0" borderId="109" xfId="0" applyFont="1" applyBorder="1"/>
    <xf numFmtId="0" fontId="9" fillId="0" borderId="71" xfId="0" applyFont="1" applyBorder="1"/>
    <xf numFmtId="0" fontId="11" fillId="2" borderId="63" xfId="0" applyFont="1" applyFill="1" applyBorder="1" applyAlignment="1">
      <alignment wrapText="1"/>
    </xf>
    <xf numFmtId="0" fontId="5" fillId="0" borderId="110" xfId="0" applyFont="1" applyBorder="1"/>
    <xf numFmtId="0" fontId="11" fillId="0" borderId="56" xfId="0" applyFont="1" applyBorder="1" applyAlignment="1">
      <alignment horizontal="center" wrapText="1"/>
    </xf>
    <xf numFmtId="17" fontId="11" fillId="0" borderId="58" xfId="0" applyNumberFormat="1" applyFont="1" applyBorder="1" applyAlignment="1">
      <alignment horizontal="center" wrapText="1"/>
    </xf>
    <xf numFmtId="0" fontId="9" fillId="0" borderId="0" xfId="0" applyFont="1" applyAlignment="1">
      <alignment vertical="top"/>
    </xf>
    <xf numFmtId="0" fontId="2" fillId="0" borderId="12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2" xfId="0" applyFont="1" applyBorder="1" applyAlignment="1">
      <alignment horizontal="left"/>
    </xf>
    <xf numFmtId="0" fontId="10" fillId="20" borderId="116" xfId="0" applyFont="1" applyFill="1" applyBorder="1" applyAlignment="1">
      <alignment horizontal="center"/>
    </xf>
    <xf numFmtId="0" fontId="5" fillId="0" borderId="115" xfId="0" applyFont="1" applyBorder="1"/>
    <xf numFmtId="0" fontId="40" fillId="20" borderId="116" xfId="0" applyFont="1" applyFill="1" applyBorder="1" applyAlignment="1">
      <alignment horizontal="center"/>
    </xf>
    <xf numFmtId="0" fontId="1" fillId="2" borderId="116" xfId="0" applyFont="1" applyFill="1" applyBorder="1" applyAlignment="1">
      <alignment horizontal="center"/>
    </xf>
    <xf numFmtId="0" fontId="11" fillId="26" borderId="111" xfId="0" applyFont="1" applyFill="1" applyBorder="1" applyAlignment="1">
      <alignment horizontal="center"/>
    </xf>
    <xf numFmtId="0" fontId="5" fillId="0" borderId="112" xfId="0" applyFont="1" applyBorder="1"/>
    <xf numFmtId="0" fontId="5" fillId="0" borderId="113" xfId="0" applyFont="1" applyBorder="1"/>
    <xf numFmtId="0" fontId="9" fillId="27" borderId="114" xfId="0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4" fillId="20" borderId="116" xfId="0" applyFont="1" applyFill="1" applyBorder="1" applyAlignment="1">
      <alignment horizontal="center"/>
    </xf>
    <xf numFmtId="0" fontId="10" fillId="30" borderId="130" xfId="0" applyFont="1" applyFill="1" applyBorder="1" applyAlignment="1">
      <alignment horizontal="center"/>
    </xf>
    <xf numFmtId="0" fontId="5" fillId="0" borderId="131" xfId="0" applyFont="1" applyBorder="1"/>
    <xf numFmtId="0" fontId="5" fillId="0" borderId="132" xfId="0" applyFont="1" applyBorder="1"/>
    <xf numFmtId="0" fontId="2" fillId="25" borderId="130" xfId="0" applyFont="1" applyFill="1" applyBorder="1" applyAlignment="1">
      <alignment horizontal="center"/>
    </xf>
    <xf numFmtId="0" fontId="10" fillId="30" borderId="136" xfId="0" applyFont="1" applyFill="1" applyBorder="1" applyAlignment="1">
      <alignment horizontal="center"/>
    </xf>
    <xf numFmtId="0" fontId="5" fillId="0" borderId="134" xfId="0" applyFont="1" applyBorder="1"/>
    <xf numFmtId="0" fontId="5" fillId="0" borderId="135" xfId="0" applyFont="1" applyBorder="1"/>
    <xf numFmtId="0" fontId="10" fillId="30" borderId="137" xfId="0" applyFont="1" applyFill="1" applyBorder="1" applyAlignment="1">
      <alignment horizontal="center"/>
    </xf>
    <xf numFmtId="0" fontId="10" fillId="30" borderId="133" xfId="0" applyFont="1" applyFill="1" applyBorder="1" applyAlignment="1">
      <alignment horizontal="center"/>
    </xf>
    <xf numFmtId="0" fontId="2" fillId="25" borderId="137" xfId="0" applyFont="1" applyFill="1" applyBorder="1" applyAlignment="1">
      <alignment horizontal="center"/>
    </xf>
    <xf numFmtId="0" fontId="29" fillId="0" borderId="111" xfId="0" applyFont="1" applyBorder="1" applyAlignment="1">
      <alignment horizontal="left"/>
    </xf>
    <xf numFmtId="0" fontId="11" fillId="25" borderId="130" xfId="0" applyFont="1" applyFill="1" applyBorder="1" applyAlignment="1">
      <alignment horizontal="center"/>
    </xf>
    <xf numFmtId="0" fontId="10" fillId="15" borderId="111" xfId="0" applyFont="1" applyFill="1" applyBorder="1" applyAlignment="1">
      <alignment horizontal="center"/>
    </xf>
    <xf numFmtId="0" fontId="33" fillId="16" borderId="111" xfId="0" applyFont="1" applyFill="1" applyBorder="1" applyAlignment="1">
      <alignment horizontal="left"/>
    </xf>
    <xf numFmtId="0" fontId="33" fillId="16" borderId="114" xfId="0" applyFont="1" applyFill="1" applyBorder="1" applyAlignment="1">
      <alignment horizontal="left"/>
    </xf>
    <xf numFmtId="0" fontId="10" fillId="17" borderId="116" xfId="0" applyFont="1" applyFill="1" applyBorder="1" applyAlignment="1">
      <alignment horizontal="center"/>
    </xf>
    <xf numFmtId="0" fontId="34" fillId="18" borderId="114" xfId="0" applyFont="1" applyFill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15" borderId="114" xfId="0" applyFont="1" applyFill="1" applyBorder="1" applyAlignment="1">
      <alignment horizontal="center"/>
    </xf>
    <xf numFmtId="0" fontId="36" fillId="0" borderId="111" xfId="0" applyFont="1" applyBorder="1" applyAlignment="1">
      <alignment horizontal="left"/>
    </xf>
    <xf numFmtId="0" fontId="37" fillId="0" borderId="112" xfId="0" applyFont="1" applyBorder="1" applyAlignment="1">
      <alignment horizontal="left"/>
    </xf>
    <xf numFmtId="0" fontId="37" fillId="0" borderId="12" xfId="0" applyFont="1" applyBorder="1" applyAlignment="1">
      <alignment horizontal="left"/>
    </xf>
    <xf numFmtId="0" fontId="37" fillId="0" borderId="16" xfId="0" applyFont="1" applyBorder="1" applyAlignment="1">
      <alignment horizontal="left"/>
    </xf>
    <xf numFmtId="0" fontId="41" fillId="21" borderId="111" xfId="0" applyFont="1" applyFill="1" applyBorder="1" applyAlignment="1">
      <alignment horizontal="center"/>
    </xf>
    <xf numFmtId="0" fontId="11" fillId="21" borderId="111" xfId="0" applyFont="1" applyFill="1" applyBorder="1" applyAlignment="1">
      <alignment horizontal="center"/>
    </xf>
    <xf numFmtId="0" fontId="38" fillId="19" borderId="111" xfId="0" applyFont="1" applyFill="1" applyBorder="1" applyAlignment="1">
      <alignment horizontal="center"/>
    </xf>
    <xf numFmtId="0" fontId="39" fillId="20" borderId="118" xfId="0" applyFont="1" applyFill="1" applyBorder="1" applyAlignment="1">
      <alignment horizontal="center"/>
    </xf>
    <xf numFmtId="0" fontId="5" fillId="0" borderId="119" xfId="0" applyFont="1" applyBorder="1"/>
    <xf numFmtId="0" fontId="5" fillId="0" borderId="120" xfId="0" applyFont="1" applyBorder="1"/>
    <xf numFmtId="0" fontId="5" fillId="0" borderId="16" xfId="0" applyFont="1" applyBorder="1"/>
    <xf numFmtId="0" fontId="40" fillId="15" borderId="121" xfId="0" applyFont="1" applyFill="1" applyBorder="1" applyAlignment="1">
      <alignment horizontal="center"/>
    </xf>
    <xf numFmtId="0" fontId="5" fillId="0" borderId="122" xfId="0" applyFont="1" applyBorder="1"/>
    <xf numFmtId="0" fontId="2" fillId="10" borderId="116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45" fillId="4" borderId="137" xfId="0" applyFont="1" applyFill="1" applyBorder="1" applyAlignment="1">
      <alignment horizontal="center"/>
    </xf>
    <xf numFmtId="9" fontId="45" fillId="4" borderId="137" xfId="0" applyNumberFormat="1" applyFont="1" applyFill="1" applyBorder="1" applyAlignment="1">
      <alignment horizontal="center"/>
    </xf>
    <xf numFmtId="0" fontId="45" fillId="4" borderId="130" xfId="0" applyFont="1" applyFill="1" applyBorder="1" applyAlignment="1">
      <alignment horizontal="center"/>
    </xf>
    <xf numFmtId="9" fontId="45" fillId="4" borderId="130" xfId="0" applyNumberFormat="1" applyFont="1" applyFill="1" applyBorder="1" applyAlignment="1">
      <alignment horizontal="center"/>
    </xf>
    <xf numFmtId="0" fontId="45" fillId="0" borderId="131" xfId="0" applyFont="1" applyBorder="1" applyAlignment="1">
      <alignment horizontal="center"/>
    </xf>
    <xf numFmtId="167" fontId="45" fillId="0" borderId="131" xfId="0" applyNumberFormat="1" applyFont="1" applyBorder="1" applyAlignment="1">
      <alignment horizontal="center"/>
    </xf>
    <xf numFmtId="9" fontId="45" fillId="0" borderId="131" xfId="0" applyNumberFormat="1" applyFont="1" applyBorder="1" applyAlignment="1">
      <alignment horizontal="center"/>
    </xf>
    <xf numFmtId="0" fontId="47" fillId="2" borderId="142" xfId="0" applyFont="1" applyFill="1" applyBorder="1" applyAlignment="1">
      <alignment horizontal="center"/>
    </xf>
    <xf numFmtId="0" fontId="45" fillId="0" borderId="137" xfId="0" applyFont="1" applyBorder="1" applyAlignment="1">
      <alignment horizontal="center"/>
    </xf>
    <xf numFmtId="167" fontId="45" fillId="0" borderId="137" xfId="0" applyNumberFormat="1" applyFont="1" applyBorder="1" applyAlignment="1">
      <alignment horizontal="center"/>
    </xf>
    <xf numFmtId="0" fontId="46" fillId="2" borderId="140" xfId="0" applyFont="1" applyFill="1" applyBorder="1" applyAlignment="1">
      <alignment horizontal="center"/>
    </xf>
    <xf numFmtId="0" fontId="5" fillId="0" borderId="141" xfId="0" applyFont="1" applyBorder="1"/>
    <xf numFmtId="0" fontId="45" fillId="0" borderId="12" xfId="0" applyFont="1" applyBorder="1"/>
    <xf numFmtId="0" fontId="46" fillId="34" borderId="118" xfId="0" applyFont="1" applyFill="1" applyBorder="1" applyAlignment="1">
      <alignment horizontal="center"/>
    </xf>
    <xf numFmtId="9" fontId="45" fillId="0" borderId="137" xfId="0" applyNumberFormat="1" applyFont="1" applyBorder="1" applyAlignment="1">
      <alignment horizontal="center"/>
    </xf>
    <xf numFmtId="0" fontId="46" fillId="6" borderId="18" xfId="0" applyFont="1" applyFill="1" applyBorder="1" applyAlignment="1">
      <alignment horizontal="center"/>
    </xf>
    <xf numFmtId="0" fontId="52" fillId="4" borderId="116" xfId="0" applyFont="1" applyFill="1" applyBorder="1" applyAlignment="1">
      <alignment horizontal="left"/>
    </xf>
    <xf numFmtId="0" fontId="56" fillId="4" borderId="116" xfId="0" applyFont="1" applyFill="1" applyBorder="1" applyAlignment="1">
      <alignment horizontal="left"/>
    </xf>
    <xf numFmtId="0" fontId="52" fillId="0" borderId="1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3" Type="http://schemas.openxmlformats.org/officeDocument/2006/relationships/calcChain" Target="calcChain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1419225</xdr:colOff>
      <xdr:row>0</xdr:row>
      <xdr:rowOff>266700</xdr:rowOff>
    </xdr:from>
    <xdr:ext cx="6400800" cy="139065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68</xdr:row>
      <xdr:rowOff>200025</xdr:rowOff>
    </xdr:from>
    <xdr:ext cx="11220450" cy="8258175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bpay.cl/company/32764" TargetMode="External"/><Relationship Id="rId2" Type="http://schemas.openxmlformats.org/officeDocument/2006/relationships/hyperlink" Target="https://maestra.cl/conoce-tus-fechas-de-entrega/" TargetMode="External"/><Relationship Id="rId1" Type="http://schemas.openxmlformats.org/officeDocument/2006/relationships/hyperlink" Target="https://maestra.cl/proyectos/" TargetMode="External"/><Relationship Id="rId6" Type="http://schemas.openxmlformats.org/officeDocument/2006/relationships/hyperlink" Target="mailto:CANAL.BROKER@maestra.cl" TargetMode="External"/><Relationship Id="rId5" Type="http://schemas.openxmlformats.org/officeDocument/2006/relationships/hyperlink" Target="https://www.webpay.cl/company/33138" TargetMode="External"/><Relationship Id="rId4" Type="http://schemas.openxmlformats.org/officeDocument/2006/relationships/hyperlink" Target="https://pay.upago.cl/go/inmobiliaria-maestr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mcolmenares@ingevec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00"/>
  <sheetViews>
    <sheetView workbookViewId="0"/>
  </sheetViews>
  <sheetFormatPr baseColWidth="10" defaultColWidth="12.5703125" defaultRowHeight="15" customHeight="1"/>
  <cols>
    <col min="1" max="1" width="17.42578125" customWidth="1"/>
    <col min="2" max="2" width="28.5703125" customWidth="1"/>
    <col min="3" max="3" width="27.28515625" customWidth="1"/>
    <col min="5" max="5" width="32" customWidth="1"/>
    <col min="6" max="6" width="22.85546875" customWidth="1"/>
    <col min="7" max="7" width="21.140625" customWidth="1"/>
  </cols>
  <sheetData>
    <row r="1" spans="1:27" ht="116.25" customHeight="1">
      <c r="A1" s="1"/>
      <c r="B1" s="496"/>
      <c r="C1" s="497"/>
      <c r="D1" s="497"/>
      <c r="E1" s="497"/>
      <c r="F1" s="497"/>
      <c r="G1" s="49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499"/>
      <c r="C2" s="495"/>
      <c r="D2" s="495"/>
      <c r="E2" s="495"/>
      <c r="F2" s="495"/>
      <c r="G2" s="50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501"/>
      <c r="C3" s="502"/>
      <c r="D3" s="502"/>
      <c r="E3" s="502"/>
      <c r="F3" s="502"/>
      <c r="G3" s="5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511" t="s">
        <v>117</v>
      </c>
      <c r="C4" s="504"/>
      <c r="D4" s="504"/>
      <c r="E4" s="504"/>
      <c r="F4" s="504"/>
      <c r="G4" s="50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2" t="s">
        <v>118</v>
      </c>
      <c r="C6" s="512"/>
      <c r="D6" s="505"/>
      <c r="E6" s="2" t="s">
        <v>119</v>
      </c>
      <c r="F6" s="512"/>
      <c r="G6" s="50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2" t="s">
        <v>120</v>
      </c>
      <c r="C7" s="512"/>
      <c r="D7" s="505"/>
      <c r="E7" s="2" t="s">
        <v>121</v>
      </c>
      <c r="F7" s="512"/>
      <c r="G7" s="50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506"/>
      <c r="C8" s="504"/>
      <c r="D8" s="504"/>
      <c r="E8" s="504"/>
      <c r="F8" s="504"/>
      <c r="G8" s="50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"/>
      <c r="B9" s="513" t="s">
        <v>122</v>
      </c>
      <c r="C9" s="497"/>
      <c r="D9" s="497"/>
      <c r="E9" s="497"/>
      <c r="F9" s="497"/>
      <c r="G9" s="49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501"/>
      <c r="C10" s="502"/>
      <c r="D10" s="502"/>
      <c r="E10" s="502"/>
      <c r="F10" s="502"/>
      <c r="G10" s="50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506"/>
      <c r="C11" s="504"/>
      <c r="D11" s="504"/>
      <c r="E11" s="504"/>
      <c r="F11" s="504"/>
      <c r="G11" s="50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2" t="s">
        <v>116</v>
      </c>
      <c r="C12" s="512"/>
      <c r="D12" s="505"/>
      <c r="E12" s="2" t="s">
        <v>123</v>
      </c>
      <c r="F12" s="512"/>
      <c r="G12" s="50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"/>
      <c r="B13" s="1"/>
      <c r="C13" s="1"/>
      <c r="D13" s="1"/>
      <c r="E13" s="2" t="s">
        <v>124</v>
      </c>
      <c r="F13" s="514" t="s">
        <v>61</v>
      </c>
      <c r="G13" s="50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"/>
      <c r="B15" s="511" t="s">
        <v>125</v>
      </c>
      <c r="C15" s="504"/>
      <c r="D15" s="504"/>
      <c r="E15" s="504"/>
      <c r="F15" s="504"/>
      <c r="G15" s="50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"/>
      <c r="B16" s="506"/>
      <c r="C16" s="504"/>
      <c r="D16" s="504"/>
      <c r="E16" s="504"/>
      <c r="F16" s="504"/>
      <c r="G16" s="50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"/>
      <c r="B17" s="2" t="s">
        <v>126</v>
      </c>
      <c r="C17" s="17"/>
      <c r="D17" s="2" t="s">
        <v>127</v>
      </c>
      <c r="E17" s="18"/>
      <c r="F17" s="2" t="s">
        <v>128</v>
      </c>
      <c r="G17" s="1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1"/>
      <c r="B18" s="2" t="s">
        <v>129</v>
      </c>
      <c r="C18" s="18"/>
      <c r="D18" s="2" t="s">
        <v>130</v>
      </c>
      <c r="E18" s="18"/>
      <c r="F18" s="2" t="s">
        <v>131</v>
      </c>
      <c r="G18" s="1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"/>
      <c r="B19" s="2" t="s">
        <v>132</v>
      </c>
      <c r="C19" s="18"/>
      <c r="D19" s="2" t="s">
        <v>133</v>
      </c>
      <c r="E19" s="18"/>
      <c r="F19" s="2" t="s">
        <v>134</v>
      </c>
      <c r="G19" s="19">
        <f>E19+C19</f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"/>
      <c r="B20" s="2" t="s">
        <v>135</v>
      </c>
      <c r="C20" s="19">
        <v>35000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/>
      <c r="B22" s="513" t="s">
        <v>136</v>
      </c>
      <c r="C22" s="497"/>
      <c r="D22" s="497"/>
      <c r="E22" s="497"/>
      <c r="F22" s="497"/>
      <c r="G22" s="49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"/>
      <c r="B23" s="501"/>
      <c r="C23" s="502"/>
      <c r="D23" s="502"/>
      <c r="E23" s="502"/>
      <c r="F23" s="502"/>
      <c r="G23" s="50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"/>
      <c r="B24" s="1"/>
      <c r="C24" s="1"/>
      <c r="D24" s="1"/>
      <c r="E24" s="3" t="s">
        <v>137</v>
      </c>
      <c r="F24" s="3" t="s">
        <v>138</v>
      </c>
      <c r="G24" s="3" t="s">
        <v>139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/>
      <c r="B25" s="507" t="s">
        <v>174</v>
      </c>
      <c r="C25" s="505"/>
      <c r="D25" s="1"/>
      <c r="E25" s="19">
        <v>2976</v>
      </c>
      <c r="F25" s="10"/>
      <c r="G25" s="9">
        <f t="shared" ref="G25:G28" si="0">E25*$C$20</f>
        <v>104160000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"/>
      <c r="B26" s="507" t="s">
        <v>15</v>
      </c>
      <c r="C26" s="505"/>
      <c r="D26" s="1"/>
      <c r="E26" s="19">
        <v>0</v>
      </c>
      <c r="F26" s="10"/>
      <c r="G26" s="9">
        <f t="shared" si="0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"/>
      <c r="B27" s="507" t="s">
        <v>62</v>
      </c>
      <c r="C27" s="505"/>
      <c r="D27" s="1"/>
      <c r="E27" s="18"/>
      <c r="F27" s="10"/>
      <c r="G27" s="9">
        <f t="shared" si="0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"/>
      <c r="B28" s="507" t="s">
        <v>175</v>
      </c>
      <c r="C28" s="505"/>
      <c r="D28" s="1"/>
      <c r="E28" s="7">
        <f>E25*F28</f>
        <v>446.4</v>
      </c>
      <c r="F28" s="20">
        <v>0.15</v>
      </c>
      <c r="G28" s="9">
        <f t="shared" si="0"/>
        <v>15624000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1"/>
      <c r="B29" s="2" t="s">
        <v>176</v>
      </c>
      <c r="C29" s="2"/>
      <c r="D29" s="1"/>
      <c r="E29" s="7">
        <f>(E25-E28)+E26+E27</f>
        <v>2529.6</v>
      </c>
      <c r="F29" s="20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/>
      <c r="B30" s="507" t="s">
        <v>177</v>
      </c>
      <c r="C30" s="505"/>
      <c r="D30" s="1"/>
      <c r="E30" s="7">
        <f>E29*F30</f>
        <v>252.96</v>
      </c>
      <c r="F30" s="20">
        <v>0.1</v>
      </c>
      <c r="G30" s="9">
        <f>E30*$C$20</f>
        <v>8853600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"/>
      <c r="B31" s="507" t="s">
        <v>115</v>
      </c>
      <c r="C31" s="505"/>
      <c r="D31" s="1"/>
      <c r="E31" s="19">
        <f>IF(E30=0,0,10)</f>
        <v>10</v>
      </c>
      <c r="F31" s="8">
        <f>G31/G39</f>
        <v>4.39243797877574E-3</v>
      </c>
      <c r="G31" s="9">
        <f>E31*C20</f>
        <v>350000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/>
      <c r="B32" s="2" t="s">
        <v>141</v>
      </c>
      <c r="C32" s="2"/>
      <c r="D32" s="1"/>
      <c r="E32" s="7">
        <f>(E25-E28)*F32</f>
        <v>252.96</v>
      </c>
      <c r="F32" s="20">
        <v>0.1</v>
      </c>
      <c r="G32" s="9">
        <f>E32*C20</f>
        <v>8853600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"/>
      <c r="B33" s="507" t="s">
        <v>178</v>
      </c>
      <c r="C33" s="505"/>
      <c r="D33" s="1"/>
      <c r="E33" s="7">
        <f>E25-E28-E30</f>
        <v>2276.64</v>
      </c>
      <c r="F33" s="10"/>
      <c r="G33" s="9">
        <f t="shared" ref="G33:G34" si="1">E33*$C$20</f>
        <v>79682400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/>
      <c r="B34" s="507" t="s">
        <v>179</v>
      </c>
      <c r="C34" s="505"/>
      <c r="D34" s="1"/>
      <c r="E34" s="7">
        <f>E33+E32</f>
        <v>2529.6</v>
      </c>
      <c r="F34" s="5"/>
      <c r="G34" s="21">
        <f t="shared" si="1"/>
        <v>88536000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513" t="s">
        <v>142</v>
      </c>
      <c r="C36" s="497"/>
      <c r="D36" s="497"/>
      <c r="E36" s="497"/>
      <c r="F36" s="497"/>
      <c r="G36" s="498"/>
      <c r="H36" s="1"/>
      <c r="I36" s="1"/>
      <c r="J36" s="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501"/>
      <c r="C37" s="502"/>
      <c r="D37" s="502"/>
      <c r="E37" s="502"/>
      <c r="F37" s="502"/>
      <c r="G37" s="503"/>
      <c r="H37" s="1"/>
      <c r="I37" s="1"/>
      <c r="J37" s="1"/>
      <c r="K37" s="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"/>
      <c r="C38" s="1"/>
      <c r="D38" s="1"/>
      <c r="E38" s="3" t="s">
        <v>137</v>
      </c>
      <c r="F38" s="3" t="s">
        <v>138</v>
      </c>
      <c r="G38" s="3" t="s">
        <v>139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507" t="s">
        <v>143</v>
      </c>
      <c r="C39" s="505"/>
      <c r="D39" s="1"/>
      <c r="E39" s="7">
        <f>E33+E26+E27</f>
        <v>2276.64</v>
      </c>
      <c r="F39" s="8">
        <v>1</v>
      </c>
      <c r="G39" s="9">
        <f>E39*C20</f>
        <v>79682400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507" t="s">
        <v>140</v>
      </c>
      <c r="C40" s="505"/>
      <c r="D40" s="1"/>
      <c r="E40" s="19">
        <f>IF(E30=0,0,50)</f>
        <v>50</v>
      </c>
      <c r="F40" s="8">
        <f t="shared" ref="F40:F41" si="2">E40/E39</f>
        <v>2.19621898938787E-2</v>
      </c>
      <c r="G40" s="9">
        <f>E40*C20</f>
        <v>1750000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509" t="s">
        <v>144</v>
      </c>
      <c r="C41" s="505"/>
      <c r="D41" s="1"/>
      <c r="E41" s="7">
        <f>E30/E39</f>
        <v>0.11111111111111112</v>
      </c>
      <c r="F41" s="8">
        <f t="shared" si="2"/>
        <v>2.2222222222222222E-3</v>
      </c>
      <c r="G41" s="9">
        <f>E41*C20</f>
        <v>3888.8888888888891</v>
      </c>
      <c r="H41" s="1"/>
      <c r="I41" s="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507" t="s">
        <v>145</v>
      </c>
      <c r="C42" s="505"/>
      <c r="D42" s="22">
        <v>36</v>
      </c>
      <c r="E42" s="7">
        <f>E41/D42</f>
        <v>3.08641975308642E-3</v>
      </c>
      <c r="F42" s="8">
        <f>F41/D42</f>
        <v>6.1728395061728397E-5</v>
      </c>
      <c r="G42" s="9">
        <f>(G41)/D42</f>
        <v>108.0246913580247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2"/>
      <c r="C43" s="2"/>
      <c r="D43" s="1"/>
      <c r="E43" s="7"/>
      <c r="F43" s="7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507" t="s">
        <v>146</v>
      </c>
      <c r="C44" s="505"/>
      <c r="D44" s="1"/>
      <c r="E44" s="7">
        <f>E34*F44</f>
        <v>2276.64</v>
      </c>
      <c r="F44" s="23">
        <v>0.9</v>
      </c>
      <c r="G44" s="9">
        <f>E44*C20</f>
        <v>79682400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513" t="s">
        <v>146</v>
      </c>
      <c r="C46" s="497"/>
      <c r="D46" s="497"/>
      <c r="E46" s="497"/>
      <c r="F46" s="497"/>
      <c r="G46" s="49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501"/>
      <c r="C47" s="502"/>
      <c r="D47" s="502"/>
      <c r="E47" s="502"/>
      <c r="F47" s="502"/>
      <c r="G47" s="50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507" t="s">
        <v>147</v>
      </c>
      <c r="C48" s="505"/>
      <c r="D48" s="11" t="s">
        <v>148</v>
      </c>
      <c r="E48" s="24">
        <v>30</v>
      </c>
      <c r="F48" s="3">
        <f>E48</f>
        <v>30</v>
      </c>
      <c r="G48" s="3">
        <f>E48</f>
        <v>30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507" t="s">
        <v>149</v>
      </c>
      <c r="C49" s="505"/>
      <c r="D49" s="11" t="s">
        <v>138</v>
      </c>
      <c r="E49" s="23">
        <v>0.04</v>
      </c>
      <c r="F49" s="23">
        <v>4.4999999999999998E-2</v>
      </c>
      <c r="G49" s="23">
        <v>0.05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507" t="s">
        <v>150</v>
      </c>
      <c r="C50" s="505"/>
      <c r="D50" s="11" t="s">
        <v>139</v>
      </c>
      <c r="E50" s="9">
        <f t="shared" ref="E50:G50" si="3">-1*PMT(E49/12,E48*12,$G$44)</f>
        <v>380415.96539396927</v>
      </c>
      <c r="F50" s="9">
        <f t="shared" si="3"/>
        <v>403739.01531669754</v>
      </c>
      <c r="G50" s="9">
        <f t="shared" si="3"/>
        <v>427752.35293502471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507" t="s">
        <v>151</v>
      </c>
      <c r="C51" s="505"/>
      <c r="D51" s="11" t="s">
        <v>137</v>
      </c>
      <c r="E51" s="12">
        <f t="shared" ref="E51:G51" si="4">E50/$C$20</f>
        <v>10.869027582684836</v>
      </c>
      <c r="F51" s="12">
        <f t="shared" si="4"/>
        <v>11.535400437619929</v>
      </c>
      <c r="G51" s="12">
        <f t="shared" si="4"/>
        <v>12.221495798143563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513" t="s">
        <v>152</v>
      </c>
      <c r="C53" s="497"/>
      <c r="D53" s="497"/>
      <c r="E53" s="497"/>
      <c r="F53" s="497"/>
      <c r="G53" s="49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501"/>
      <c r="C54" s="502"/>
      <c r="D54" s="502"/>
      <c r="E54" s="502"/>
      <c r="F54" s="502"/>
      <c r="G54" s="50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507" t="s">
        <v>153</v>
      </c>
      <c r="C55" s="505"/>
      <c r="D55" s="11" t="s">
        <v>139</v>
      </c>
      <c r="E55" s="25">
        <v>600000</v>
      </c>
      <c r="F55" s="9">
        <f>E55</f>
        <v>600000</v>
      </c>
      <c r="G55" s="9">
        <f>E55</f>
        <v>600000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507" t="s">
        <v>150</v>
      </c>
      <c r="C56" s="505"/>
      <c r="D56" s="11" t="s">
        <v>139</v>
      </c>
      <c r="E56" s="9">
        <f t="shared" ref="E56:G56" si="5">E50</f>
        <v>380415.96539396927</v>
      </c>
      <c r="F56" s="9">
        <f t="shared" si="5"/>
        <v>403739.01531669754</v>
      </c>
      <c r="G56" s="9">
        <f t="shared" si="5"/>
        <v>427752.35293502471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507" t="s">
        <v>152</v>
      </c>
      <c r="C57" s="505"/>
      <c r="D57" s="11" t="s">
        <v>139</v>
      </c>
      <c r="E57" s="9">
        <f t="shared" ref="E57:G57" si="6">E55-E56</f>
        <v>219584.03460603073</v>
      </c>
      <c r="F57" s="9">
        <f t="shared" si="6"/>
        <v>196260.98468330246</v>
      </c>
      <c r="G57" s="9">
        <f t="shared" si="6"/>
        <v>172247.64706497529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1"/>
      <c r="C58" s="1"/>
      <c r="D58" s="1"/>
      <c r="E58" s="13"/>
      <c r="F58" s="13"/>
      <c r="G58" s="1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513" t="s">
        <v>154</v>
      </c>
      <c r="C59" s="497"/>
      <c r="D59" s="497"/>
      <c r="E59" s="497"/>
      <c r="F59" s="497"/>
      <c r="G59" s="49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501"/>
      <c r="C60" s="502"/>
      <c r="D60" s="502"/>
      <c r="E60" s="502"/>
      <c r="F60" s="502"/>
      <c r="G60" s="50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507" t="s">
        <v>155</v>
      </c>
      <c r="C61" s="505"/>
      <c r="D61" s="11" t="s">
        <v>139</v>
      </c>
      <c r="E61" s="9">
        <f t="shared" ref="E61:G61" si="7">E57*12*5</f>
        <v>13175042.076361846</v>
      </c>
      <c r="F61" s="9">
        <f t="shared" si="7"/>
        <v>11775659.080998149</v>
      </c>
      <c r="G61" s="9">
        <f t="shared" si="7"/>
        <v>10334858.823898517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2" t="s">
        <v>156</v>
      </c>
      <c r="C62" s="1"/>
      <c r="D62" s="11" t="s">
        <v>139</v>
      </c>
      <c r="E62" s="9">
        <f t="shared" ref="E62:G62" si="8">IF(E49=0,
 $G$44*MIN(60,E48*12)/(E48*12),
 $G$44 - (
   $G$44*(1+E49/12)^MIN(60,E48*12)
   - (-PMT(E49/12,E48*12,$G$44)) * ( ((1+E49/12)^MIN(60,E48*12)-1)/(E49/12) )
 )
)*0.67</f>
        <v>5099806.0312079443</v>
      </c>
      <c r="F62" s="9">
        <f t="shared" si="8"/>
        <v>4720541.1556982901</v>
      </c>
      <c r="G62" s="9">
        <f t="shared" si="8"/>
        <v>4362411.7980012903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507" t="s">
        <v>157</v>
      </c>
      <c r="C63" s="505"/>
      <c r="D63" s="11" t="s">
        <v>139</v>
      </c>
      <c r="E63" s="9">
        <f t="shared" ref="E63:G63" si="9">-$G$30</f>
        <v>-8853600</v>
      </c>
      <c r="F63" s="9">
        <f t="shared" si="9"/>
        <v>-8853600</v>
      </c>
      <c r="G63" s="9">
        <f t="shared" si="9"/>
        <v>-8853600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2" t="s">
        <v>158</v>
      </c>
      <c r="C64" s="1"/>
      <c r="D64" s="11" t="s">
        <v>138</v>
      </c>
      <c r="E64" s="20">
        <v>0.02</v>
      </c>
      <c r="F64" s="14">
        <f>E64</f>
        <v>0.02</v>
      </c>
      <c r="G64" s="14">
        <f>E64</f>
        <v>0.02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507" t="s">
        <v>159</v>
      </c>
      <c r="C65" s="505"/>
      <c r="D65" s="11" t="s">
        <v>139</v>
      </c>
      <c r="E65" s="15">
        <f t="shared" ref="E65:G65" si="10">(1+E64)^(5)-1</f>
        <v>0.10408080320000002</v>
      </c>
      <c r="F65" s="15">
        <f t="shared" si="10"/>
        <v>0.10408080320000002</v>
      </c>
      <c r="G65" s="15">
        <f t="shared" si="10"/>
        <v>0.10408080320000002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507" t="s">
        <v>160</v>
      </c>
      <c r="C66" s="505"/>
      <c r="D66" s="11" t="s">
        <v>139</v>
      </c>
      <c r="E66" s="9">
        <f t="shared" ref="E66:G66" si="11">((1+$E$65)*$G$39)-$G$44+E62</f>
        <v>13393214.224111628</v>
      </c>
      <c r="F66" s="9">
        <f t="shared" si="11"/>
        <v>13013949.348601973</v>
      </c>
      <c r="G66" s="9">
        <f t="shared" si="11"/>
        <v>12655819.990904972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2" t="s">
        <v>161</v>
      </c>
      <c r="C67" s="1"/>
      <c r="D67" s="11" t="s">
        <v>139</v>
      </c>
      <c r="E67" s="9">
        <f t="shared" ref="E67:G67" si="12">-E61-E63</f>
        <v>-4321442.0763618462</v>
      </c>
      <c r="F67" s="9">
        <f t="shared" si="12"/>
        <v>-2922059.0809981488</v>
      </c>
      <c r="G67" s="9">
        <f t="shared" si="12"/>
        <v>-1481258.8238985166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507" t="s">
        <v>162</v>
      </c>
      <c r="C68" s="505"/>
      <c r="D68" s="11" t="s">
        <v>139</v>
      </c>
      <c r="E68" s="9">
        <f t="shared" ref="E68:G68" si="13">E66+E61+E63</f>
        <v>17714656.300473474</v>
      </c>
      <c r="F68" s="9">
        <f t="shared" si="13"/>
        <v>15936008.42960012</v>
      </c>
      <c r="G68" s="9">
        <f t="shared" si="13"/>
        <v>14137078.814803489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2" t="s">
        <v>163</v>
      </c>
      <c r="C69" s="1"/>
      <c r="D69" s="11" t="s">
        <v>139</v>
      </c>
      <c r="E69" s="14">
        <f t="shared" ref="E69:F69" si="14">E68/E67</f>
        <v>-4.099246498610289</v>
      </c>
      <c r="F69" s="14">
        <f t="shared" si="14"/>
        <v>-5.4536913826384801</v>
      </c>
      <c r="G69" s="14">
        <f>G68/-(G61+G63)</f>
        <v>-9.5439625990521986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2" t="s">
        <v>164</v>
      </c>
      <c r="C70" s="1"/>
      <c r="D70" s="11" t="s">
        <v>139</v>
      </c>
      <c r="E70" s="15">
        <f t="shared" ref="E70:G70" si="15">(1+E69)^(1/5)-1</f>
        <v>-2.2538662820566198</v>
      </c>
      <c r="F70" s="15">
        <f t="shared" si="15"/>
        <v>-2.348168028979722</v>
      </c>
      <c r="G70" s="15">
        <f t="shared" si="15"/>
        <v>-2.5357901141440333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2" t="s">
        <v>165</v>
      </c>
      <c r="C71" s="1"/>
      <c r="D71" s="11" t="s">
        <v>139</v>
      </c>
      <c r="E71" s="15">
        <f t="shared" ref="E71:G71" si="16">((E55*12)/$C$20)/$E$33</f>
        <v>9.035872413481523E-2</v>
      </c>
      <c r="F71" s="15">
        <f t="shared" si="16"/>
        <v>9.035872413481523E-2</v>
      </c>
      <c r="G71" s="15">
        <f t="shared" si="16"/>
        <v>9.035872413481523E-2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510" t="s">
        <v>166</v>
      </c>
      <c r="C73" s="504"/>
      <c r="D73" s="504"/>
      <c r="E73" s="504"/>
      <c r="F73" s="504"/>
      <c r="G73" s="50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5"/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5"/>
      <c r="F76" s="5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/>
    <row r="275" spans="1:27" ht="15.75" customHeight="1"/>
    <row r="276" spans="1:27" ht="15.75" customHeight="1"/>
    <row r="277" spans="1:27" ht="15.75" customHeight="1"/>
    <row r="278" spans="1:27" ht="15.75" customHeight="1"/>
    <row r="279" spans="1:27" ht="15.75" customHeight="1"/>
    <row r="280" spans="1:27" ht="15.75" customHeight="1"/>
    <row r="281" spans="1:27" ht="15.75" customHeight="1"/>
    <row r="282" spans="1:27" ht="15.75" customHeight="1"/>
    <row r="283" spans="1:27" ht="15.75" customHeight="1"/>
    <row r="284" spans="1:27" ht="15.75" customHeight="1"/>
    <row r="285" spans="1:27" ht="15.75" customHeight="1"/>
    <row r="286" spans="1:27" ht="15.75" customHeight="1"/>
    <row r="287" spans="1:27" ht="15.75" customHeight="1"/>
    <row r="288" spans="1:27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B68:C68"/>
    <mergeCell ref="B73:G73"/>
    <mergeCell ref="B55:C55"/>
    <mergeCell ref="B56:C56"/>
    <mergeCell ref="B57:C57"/>
    <mergeCell ref="B59:G60"/>
    <mergeCell ref="B61:C61"/>
    <mergeCell ref="B63:C63"/>
    <mergeCell ref="B65:C65"/>
    <mergeCell ref="B49:C49"/>
    <mergeCell ref="B50:C50"/>
    <mergeCell ref="B51:C51"/>
    <mergeCell ref="B53:G54"/>
    <mergeCell ref="B66:C66"/>
    <mergeCell ref="B41:C41"/>
    <mergeCell ref="B42:C42"/>
    <mergeCell ref="B44:C44"/>
    <mergeCell ref="B46:G47"/>
    <mergeCell ref="B48:C48"/>
    <mergeCell ref="B33:C33"/>
    <mergeCell ref="B34:C34"/>
    <mergeCell ref="B36:G37"/>
    <mergeCell ref="B39:C39"/>
    <mergeCell ref="B40:C40"/>
    <mergeCell ref="B26:C26"/>
    <mergeCell ref="B27:C27"/>
    <mergeCell ref="B28:C28"/>
    <mergeCell ref="B30:C30"/>
    <mergeCell ref="B31:C31"/>
    <mergeCell ref="F13:G13"/>
    <mergeCell ref="B15:G15"/>
    <mergeCell ref="B16:G16"/>
    <mergeCell ref="B22:G23"/>
    <mergeCell ref="B25:C25"/>
    <mergeCell ref="B8:G8"/>
    <mergeCell ref="B9:G10"/>
    <mergeCell ref="B11:G11"/>
    <mergeCell ref="C12:D12"/>
    <mergeCell ref="F12:G12"/>
    <mergeCell ref="B1:G3"/>
    <mergeCell ref="B4:G4"/>
    <mergeCell ref="C6:D6"/>
    <mergeCell ref="F6:G6"/>
    <mergeCell ref="C7:D7"/>
    <mergeCell ref="F7:G7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1000"/>
  <sheetViews>
    <sheetView workbookViewId="0"/>
  </sheetViews>
  <sheetFormatPr baseColWidth="10" defaultColWidth="12.5703125" defaultRowHeight="15" customHeight="1"/>
  <cols>
    <col min="5" max="5" width="20.28515625" customWidth="1"/>
    <col min="12" max="12" width="16.7109375" customWidth="1"/>
  </cols>
  <sheetData>
    <row r="1" spans="1:29" ht="15.7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521" t="s">
        <v>180</v>
      </c>
      <c r="R1" s="522"/>
      <c r="S1" s="522"/>
      <c r="T1" s="522"/>
      <c r="U1" s="522"/>
      <c r="V1" s="522"/>
      <c r="W1" s="523"/>
      <c r="X1" s="26"/>
      <c r="Y1" s="26"/>
      <c r="Z1" s="26"/>
      <c r="AA1" s="26"/>
      <c r="AB1" s="26"/>
      <c r="AC1" s="26"/>
    </row>
    <row r="2" spans="1:29" ht="15.75" customHeight="1">
      <c r="A2" s="26"/>
      <c r="B2" s="27" t="s">
        <v>181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524"/>
      <c r="R2" s="525"/>
      <c r="S2" s="525"/>
      <c r="T2" s="525"/>
      <c r="U2" s="525"/>
      <c r="V2" s="525"/>
      <c r="W2" s="526"/>
      <c r="X2" s="26"/>
      <c r="Y2" s="26"/>
      <c r="Z2" s="26"/>
      <c r="AA2" s="26"/>
      <c r="AB2" s="26"/>
      <c r="AC2" s="26"/>
    </row>
    <row r="3" spans="1:29" ht="15.75" customHeight="1">
      <c r="A3" s="26"/>
      <c r="B3" s="28" t="s">
        <v>171</v>
      </c>
      <c r="C3" s="29" t="s">
        <v>172</v>
      </c>
      <c r="D3" s="30" t="s">
        <v>0</v>
      </c>
      <c r="E3" s="30" t="s">
        <v>182</v>
      </c>
      <c r="F3" s="31" t="s">
        <v>183</v>
      </c>
      <c r="G3" s="31" t="s">
        <v>184</v>
      </c>
      <c r="H3" s="30" t="s">
        <v>185</v>
      </c>
      <c r="I3" s="30" t="s">
        <v>186</v>
      </c>
      <c r="J3" s="30" t="s">
        <v>187</v>
      </c>
      <c r="K3" s="31" t="s">
        <v>188</v>
      </c>
      <c r="L3" s="30" t="s">
        <v>189</v>
      </c>
      <c r="M3" s="32" t="s">
        <v>190</v>
      </c>
      <c r="N3" s="26"/>
      <c r="O3" s="26"/>
      <c r="P3" s="33"/>
      <c r="Q3" s="34"/>
      <c r="R3" s="34"/>
      <c r="S3" s="35"/>
      <c r="T3" s="26"/>
      <c r="U3" s="33"/>
      <c r="V3" s="34"/>
      <c r="W3" s="34"/>
      <c r="X3" s="35"/>
      <c r="Y3" s="26"/>
      <c r="Z3" s="26"/>
      <c r="AA3" s="36" t="s">
        <v>171</v>
      </c>
      <c r="AB3" s="36" t="s">
        <v>191</v>
      </c>
      <c r="AC3" s="36" t="s">
        <v>192</v>
      </c>
    </row>
    <row r="4" spans="1:29" ht="15.75" customHeight="1">
      <c r="A4" s="26"/>
      <c r="B4" s="37" t="s">
        <v>193</v>
      </c>
      <c r="C4" s="38" t="s">
        <v>194</v>
      </c>
      <c r="D4" s="39" t="s">
        <v>41</v>
      </c>
      <c r="E4" s="40">
        <v>0.1</v>
      </c>
      <c r="F4" s="41"/>
      <c r="G4" s="42">
        <v>500000</v>
      </c>
      <c r="H4" s="40">
        <v>0.01</v>
      </c>
      <c r="I4" s="43">
        <f t="shared" ref="I4:I10" si="0">20%-L4-H4</f>
        <v>9.0000000000000011E-2</v>
      </c>
      <c r="J4" s="44">
        <v>23</v>
      </c>
      <c r="K4" s="43" t="s">
        <v>195</v>
      </c>
      <c r="L4" s="43">
        <v>0.1</v>
      </c>
      <c r="M4" s="44" t="s">
        <v>196</v>
      </c>
      <c r="N4" s="26"/>
      <c r="O4" s="26"/>
      <c r="P4" s="45"/>
      <c r="Q4" s="26"/>
      <c r="R4" s="26"/>
      <c r="S4" s="46"/>
      <c r="T4" s="26"/>
      <c r="U4" s="45"/>
      <c r="V4" s="26"/>
      <c r="W4" s="26"/>
      <c r="X4" s="46"/>
      <c r="Y4" s="26"/>
      <c r="Z4" s="26"/>
      <c r="AA4" s="47" t="s">
        <v>197</v>
      </c>
      <c r="AB4" s="47" t="s">
        <v>198</v>
      </c>
      <c r="AC4" s="47" t="s">
        <v>199</v>
      </c>
    </row>
    <row r="5" spans="1:29" ht="15.75" customHeight="1">
      <c r="A5" s="26"/>
      <c r="B5" s="48" t="s">
        <v>200</v>
      </c>
      <c r="C5" s="38" t="s">
        <v>201</v>
      </c>
      <c r="D5" s="39" t="s">
        <v>41</v>
      </c>
      <c r="E5" s="49">
        <v>0.15</v>
      </c>
      <c r="F5" s="41"/>
      <c r="G5" s="42">
        <v>500000</v>
      </c>
      <c r="H5" s="40">
        <v>0.01</v>
      </c>
      <c r="I5" s="43">
        <f t="shared" si="0"/>
        <v>9.0000000000000011E-2</v>
      </c>
      <c r="J5" s="44">
        <v>36</v>
      </c>
      <c r="K5" s="43" t="s">
        <v>195</v>
      </c>
      <c r="L5" s="43">
        <v>0.1</v>
      </c>
      <c r="M5" s="44" t="s">
        <v>196</v>
      </c>
      <c r="N5" s="26"/>
      <c r="O5" s="26"/>
      <c r="P5" s="45"/>
      <c r="Q5" s="50">
        <v>1</v>
      </c>
      <c r="R5" s="26" t="s">
        <v>202</v>
      </c>
      <c r="S5" s="46"/>
      <c r="T5" s="26"/>
      <c r="U5" s="45"/>
      <c r="V5" s="50">
        <v>1</v>
      </c>
      <c r="W5" s="26" t="s">
        <v>202</v>
      </c>
      <c r="X5" s="46"/>
      <c r="Y5" s="26"/>
      <c r="Z5" s="26"/>
      <c r="AA5" s="47" t="s">
        <v>203</v>
      </c>
      <c r="AB5" s="47" t="s">
        <v>204</v>
      </c>
      <c r="AC5" s="47" t="s">
        <v>205</v>
      </c>
    </row>
    <row r="6" spans="1:29" ht="15.75" customHeight="1">
      <c r="A6" s="51" t="s">
        <v>206</v>
      </c>
      <c r="B6" s="37" t="s">
        <v>78</v>
      </c>
      <c r="C6" s="38" t="s">
        <v>207</v>
      </c>
      <c r="D6" s="39" t="s">
        <v>79</v>
      </c>
      <c r="E6" s="52">
        <v>0.15</v>
      </c>
      <c r="F6" s="53"/>
      <c r="G6" s="42">
        <v>500000</v>
      </c>
      <c r="H6" s="43">
        <v>0.01</v>
      </c>
      <c r="I6" s="43">
        <f t="shared" si="0"/>
        <v>9.0000000000000011E-2</v>
      </c>
      <c r="J6" s="54">
        <v>24</v>
      </c>
      <c r="K6" s="43" t="s">
        <v>195</v>
      </c>
      <c r="L6" s="43">
        <v>0.1</v>
      </c>
      <c r="M6" s="54" t="s">
        <v>196</v>
      </c>
      <c r="N6" s="26"/>
      <c r="O6" s="26"/>
      <c r="P6" s="45"/>
      <c r="Q6" s="50">
        <v>2</v>
      </c>
      <c r="R6" s="55" t="s">
        <v>208</v>
      </c>
      <c r="S6" s="46"/>
      <c r="T6" s="26"/>
      <c r="U6" s="45"/>
      <c r="V6" s="50">
        <v>2</v>
      </c>
      <c r="W6" s="26" t="s">
        <v>209</v>
      </c>
      <c r="X6" s="46"/>
      <c r="Y6" s="26"/>
      <c r="Z6" s="26"/>
      <c r="AA6" s="47" t="s">
        <v>210</v>
      </c>
      <c r="AB6" s="47" t="s">
        <v>211</v>
      </c>
      <c r="AC6" s="47" t="s">
        <v>212</v>
      </c>
    </row>
    <row r="7" spans="1:29" ht="15.75" customHeight="1">
      <c r="A7" s="51" t="s">
        <v>206</v>
      </c>
      <c r="B7" s="48" t="s">
        <v>50</v>
      </c>
      <c r="C7" s="38" t="s">
        <v>201</v>
      </c>
      <c r="D7" s="39" t="s">
        <v>76</v>
      </c>
      <c r="E7" s="49">
        <v>0.15</v>
      </c>
      <c r="F7" s="53"/>
      <c r="G7" s="42">
        <v>500000</v>
      </c>
      <c r="H7" s="40">
        <v>0.01</v>
      </c>
      <c r="I7" s="43">
        <f t="shared" si="0"/>
        <v>9.0000000000000011E-2</v>
      </c>
      <c r="J7" s="44">
        <v>36</v>
      </c>
      <c r="K7" s="43" t="s">
        <v>195</v>
      </c>
      <c r="L7" s="43">
        <v>0.1</v>
      </c>
      <c r="M7" s="44" t="s">
        <v>196</v>
      </c>
      <c r="N7" s="26"/>
      <c r="O7" s="26"/>
      <c r="P7" s="45"/>
      <c r="Q7" s="50">
        <v>3</v>
      </c>
      <c r="R7" s="26" t="s">
        <v>213</v>
      </c>
      <c r="S7" s="46"/>
      <c r="T7" s="26"/>
      <c r="U7" s="45"/>
      <c r="V7" s="50">
        <v>3</v>
      </c>
      <c r="W7" s="55" t="s">
        <v>208</v>
      </c>
      <c r="X7" s="46"/>
      <c r="Y7" s="26"/>
      <c r="Z7" s="26"/>
      <c r="AA7" s="47" t="s">
        <v>214</v>
      </c>
      <c r="AB7" s="47" t="s">
        <v>215</v>
      </c>
      <c r="AC7" s="47" t="s">
        <v>216</v>
      </c>
    </row>
    <row r="8" spans="1:29" ht="15.75" customHeight="1">
      <c r="A8" s="26"/>
      <c r="B8" s="56" t="s">
        <v>217</v>
      </c>
      <c r="C8" s="57" t="s">
        <v>201</v>
      </c>
      <c r="D8" s="58" t="s">
        <v>26</v>
      </c>
      <c r="E8" s="59">
        <v>0.15</v>
      </c>
      <c r="F8" s="60"/>
      <c r="G8" s="61">
        <v>500000</v>
      </c>
      <c r="H8" s="62">
        <v>0.01</v>
      </c>
      <c r="I8" s="62">
        <f t="shared" si="0"/>
        <v>9.0000000000000011E-2</v>
      </c>
      <c r="J8" s="63">
        <v>36</v>
      </c>
      <c r="K8" s="62" t="s">
        <v>195</v>
      </c>
      <c r="L8" s="62">
        <v>0.1</v>
      </c>
      <c r="M8" s="63" t="s">
        <v>196</v>
      </c>
      <c r="N8" s="26"/>
      <c r="O8" s="26"/>
      <c r="P8" s="45"/>
      <c r="Q8" s="50">
        <v>4</v>
      </c>
      <c r="R8" s="26" t="s">
        <v>218</v>
      </c>
      <c r="S8" s="46"/>
      <c r="T8" s="26"/>
      <c r="U8" s="45"/>
      <c r="V8" s="50">
        <v>4</v>
      </c>
      <c r="W8" s="26" t="s">
        <v>219</v>
      </c>
      <c r="X8" s="46"/>
      <c r="Y8" s="26"/>
      <c r="Z8" s="26"/>
      <c r="AA8" s="47" t="s">
        <v>220</v>
      </c>
      <c r="AB8" s="47" t="s">
        <v>215</v>
      </c>
      <c r="AC8" s="47" t="s">
        <v>216</v>
      </c>
    </row>
    <row r="9" spans="1:29" ht="15.75" customHeight="1">
      <c r="A9" s="26"/>
      <c r="B9" s="64" t="s">
        <v>221</v>
      </c>
      <c r="C9" s="65" t="s">
        <v>222</v>
      </c>
      <c r="D9" s="66" t="s">
        <v>49</v>
      </c>
      <c r="E9" s="67">
        <v>0.1</v>
      </c>
      <c r="F9" s="68" t="s">
        <v>223</v>
      </c>
      <c r="G9" s="69">
        <v>500000</v>
      </c>
      <c r="H9" s="67">
        <v>0.02</v>
      </c>
      <c r="I9" s="67">
        <f t="shared" si="0"/>
        <v>0.08</v>
      </c>
      <c r="J9" s="70">
        <v>60</v>
      </c>
      <c r="K9" s="71"/>
      <c r="L9" s="67">
        <v>0.1</v>
      </c>
      <c r="M9" s="70" t="s">
        <v>224</v>
      </c>
      <c r="N9" s="26"/>
      <c r="O9" s="26"/>
      <c r="P9" s="45"/>
      <c r="Q9" s="527" t="s">
        <v>225</v>
      </c>
      <c r="R9" s="517"/>
      <c r="S9" s="46"/>
      <c r="T9" s="26"/>
      <c r="U9" s="45"/>
      <c r="V9" s="527" t="s">
        <v>226</v>
      </c>
      <c r="W9" s="516"/>
      <c r="X9" s="528"/>
      <c r="Y9" s="26"/>
      <c r="Z9" s="26"/>
      <c r="AA9" s="47" t="s">
        <v>78</v>
      </c>
      <c r="AB9" s="47" t="s">
        <v>227</v>
      </c>
      <c r="AC9" s="47" t="s">
        <v>228</v>
      </c>
    </row>
    <row r="10" spans="1:29" ht="15.75" customHeight="1">
      <c r="A10" s="51" t="s">
        <v>206</v>
      </c>
      <c r="B10" s="72" t="s">
        <v>229</v>
      </c>
      <c r="C10" s="73" t="s">
        <v>222</v>
      </c>
      <c r="D10" s="74" t="s">
        <v>20</v>
      </c>
      <c r="E10" s="75">
        <v>0.15</v>
      </c>
      <c r="F10" s="76"/>
      <c r="G10" s="76"/>
      <c r="H10" s="77">
        <v>0.02</v>
      </c>
      <c r="I10" s="77">
        <f t="shared" si="0"/>
        <v>3.0000000000000016E-2</v>
      </c>
      <c r="J10" s="78">
        <v>60</v>
      </c>
      <c r="K10" s="76"/>
      <c r="L10" s="79">
        <v>0.15</v>
      </c>
      <c r="M10" s="78" t="s">
        <v>224</v>
      </c>
      <c r="N10" s="26"/>
      <c r="O10" s="26"/>
      <c r="P10" s="45"/>
      <c r="Q10" s="50">
        <v>5</v>
      </c>
      <c r="R10" s="26" t="s">
        <v>230</v>
      </c>
      <c r="S10" s="46"/>
      <c r="T10" s="26"/>
      <c r="U10" s="45"/>
      <c r="V10" s="50">
        <v>5</v>
      </c>
      <c r="W10" s="26" t="s">
        <v>218</v>
      </c>
      <c r="X10" s="46"/>
      <c r="Y10" s="26"/>
      <c r="Z10" s="26"/>
      <c r="AA10" s="47" t="s">
        <v>19</v>
      </c>
      <c r="AB10" s="47" t="s">
        <v>215</v>
      </c>
      <c r="AC10" s="47" t="s">
        <v>216</v>
      </c>
    </row>
    <row r="11" spans="1:29" ht="15.75" customHeight="1">
      <c r="A11" s="51" t="s">
        <v>231</v>
      </c>
      <c r="B11" s="80" t="s">
        <v>210</v>
      </c>
      <c r="C11" s="81" t="s">
        <v>61</v>
      </c>
      <c r="D11" s="81" t="s">
        <v>31</v>
      </c>
      <c r="E11" s="82">
        <v>0.15</v>
      </c>
      <c r="F11" s="83"/>
      <c r="G11" s="84">
        <v>500000</v>
      </c>
      <c r="H11" s="85"/>
      <c r="I11" s="86">
        <v>0.1</v>
      </c>
      <c r="J11" s="87">
        <v>60</v>
      </c>
      <c r="K11" s="85"/>
      <c r="L11" s="86">
        <v>0.1</v>
      </c>
      <c r="M11" s="87" t="s">
        <v>224</v>
      </c>
      <c r="N11" s="26"/>
      <c r="O11" s="26"/>
      <c r="P11" s="45"/>
      <c r="Q11" s="50">
        <v>6</v>
      </c>
      <c r="R11" s="26" t="s">
        <v>232</v>
      </c>
      <c r="S11" s="46"/>
      <c r="T11" s="26"/>
      <c r="U11" s="45"/>
      <c r="V11" s="50">
        <v>6</v>
      </c>
      <c r="W11" s="26" t="s">
        <v>233</v>
      </c>
      <c r="X11" s="46"/>
      <c r="Y11" s="26"/>
      <c r="Z11" s="26"/>
      <c r="AA11" s="47" t="s">
        <v>234</v>
      </c>
      <c r="AB11" s="47" t="s">
        <v>215</v>
      </c>
      <c r="AC11" s="47" t="s">
        <v>216</v>
      </c>
    </row>
    <row r="12" spans="1:29" ht="15.75" customHeight="1">
      <c r="A12" s="26"/>
      <c r="B12" s="37" t="s">
        <v>214</v>
      </c>
      <c r="C12" s="38" t="s">
        <v>61</v>
      </c>
      <c r="D12" s="39" t="s">
        <v>75</v>
      </c>
      <c r="E12" s="88">
        <v>0.1</v>
      </c>
      <c r="F12" s="89"/>
      <c r="G12" s="89"/>
      <c r="H12" s="89"/>
      <c r="I12" s="86">
        <v>0.1</v>
      </c>
      <c r="J12" s="90">
        <v>60</v>
      </c>
      <c r="K12" s="89"/>
      <c r="L12" s="86">
        <v>0.1</v>
      </c>
      <c r="M12" s="90" t="s">
        <v>224</v>
      </c>
      <c r="N12" s="26"/>
      <c r="O12" s="26"/>
      <c r="P12" s="45"/>
      <c r="Q12" s="50">
        <v>7</v>
      </c>
      <c r="R12" s="26" t="s">
        <v>235</v>
      </c>
      <c r="S12" s="46"/>
      <c r="T12" s="26"/>
      <c r="U12" s="45"/>
      <c r="V12" s="50">
        <v>7</v>
      </c>
      <c r="W12" s="55" t="s">
        <v>236</v>
      </c>
      <c r="X12" s="46"/>
      <c r="Y12" s="26"/>
      <c r="Z12" s="26"/>
      <c r="AA12" s="47" t="s">
        <v>37</v>
      </c>
      <c r="AB12" s="47" t="s">
        <v>215</v>
      </c>
      <c r="AC12" s="47" t="s">
        <v>216</v>
      </c>
    </row>
    <row r="13" spans="1:29" ht="15.75" customHeight="1">
      <c r="A13" s="51" t="s">
        <v>206</v>
      </c>
      <c r="B13" s="91" t="s">
        <v>203</v>
      </c>
      <c r="C13" s="38" t="s">
        <v>61</v>
      </c>
      <c r="D13" s="38" t="s">
        <v>2</v>
      </c>
      <c r="E13" s="92">
        <v>0.15</v>
      </c>
      <c r="F13" s="93"/>
      <c r="G13" s="93"/>
      <c r="H13" s="89"/>
      <c r="I13" s="86">
        <v>0.1</v>
      </c>
      <c r="J13" s="90">
        <v>60</v>
      </c>
      <c r="K13" s="89"/>
      <c r="L13" s="86">
        <v>0.1</v>
      </c>
      <c r="M13" s="90" t="s">
        <v>224</v>
      </c>
      <c r="N13" s="26"/>
      <c r="O13" s="26"/>
      <c r="P13" s="45"/>
      <c r="Q13" s="50">
        <v>8</v>
      </c>
      <c r="R13" s="55" t="s">
        <v>237</v>
      </c>
      <c r="S13" s="46"/>
      <c r="T13" s="26"/>
      <c r="U13" s="45"/>
      <c r="V13" s="50">
        <v>8</v>
      </c>
      <c r="W13" s="55" t="s">
        <v>237</v>
      </c>
      <c r="X13" s="46"/>
      <c r="Y13" s="26"/>
      <c r="Z13" s="26"/>
      <c r="AA13" s="47" t="s">
        <v>238</v>
      </c>
      <c r="AB13" s="47" t="s">
        <v>239</v>
      </c>
      <c r="AC13" s="47" t="s">
        <v>240</v>
      </c>
    </row>
    <row r="14" spans="1:29" ht="15.75" customHeight="1">
      <c r="A14" s="26"/>
      <c r="B14" s="91" t="s">
        <v>220</v>
      </c>
      <c r="C14" s="38" t="s">
        <v>61</v>
      </c>
      <c r="D14" s="38" t="s">
        <v>13</v>
      </c>
      <c r="E14" s="88">
        <v>0.1</v>
      </c>
      <c r="F14" s="89"/>
      <c r="G14" s="89"/>
      <c r="H14" s="89"/>
      <c r="I14" s="86">
        <v>0.1</v>
      </c>
      <c r="J14" s="90">
        <v>60</v>
      </c>
      <c r="K14" s="89"/>
      <c r="L14" s="86">
        <v>0.1</v>
      </c>
      <c r="M14" s="90" t="s">
        <v>224</v>
      </c>
      <c r="N14" s="26"/>
      <c r="O14" s="26"/>
      <c r="P14" s="45"/>
      <c r="Q14" s="50">
        <v>9</v>
      </c>
      <c r="R14" s="55" t="s">
        <v>241</v>
      </c>
      <c r="S14" s="46"/>
      <c r="T14" s="26"/>
      <c r="U14" s="45"/>
      <c r="V14" s="50">
        <v>9</v>
      </c>
      <c r="W14" s="55" t="s">
        <v>241</v>
      </c>
      <c r="X14" s="46"/>
      <c r="Y14" s="26"/>
      <c r="Z14" s="26"/>
      <c r="AA14" s="47" t="s">
        <v>45</v>
      </c>
      <c r="AB14" s="47" t="s">
        <v>242</v>
      </c>
      <c r="AC14" s="47" t="s">
        <v>243</v>
      </c>
    </row>
    <row r="15" spans="1:29" ht="15.75" customHeight="1">
      <c r="A15" s="26"/>
      <c r="B15" s="37" t="s">
        <v>19</v>
      </c>
      <c r="C15" s="38" t="s">
        <v>61</v>
      </c>
      <c r="D15" s="38" t="s">
        <v>20</v>
      </c>
      <c r="E15" s="92">
        <v>0.12</v>
      </c>
      <c r="F15" s="93"/>
      <c r="G15" s="93"/>
      <c r="H15" s="89"/>
      <c r="I15" s="86">
        <v>0.1</v>
      </c>
      <c r="J15" s="90">
        <v>60</v>
      </c>
      <c r="K15" s="89"/>
      <c r="L15" s="86">
        <v>0.1</v>
      </c>
      <c r="M15" s="90" t="s">
        <v>224</v>
      </c>
      <c r="N15" s="26"/>
      <c r="O15" s="26"/>
      <c r="P15" s="45"/>
      <c r="Q15" s="50">
        <v>10</v>
      </c>
      <c r="R15" s="55" t="s">
        <v>244</v>
      </c>
      <c r="S15" s="46"/>
      <c r="T15" s="26"/>
      <c r="U15" s="45"/>
      <c r="V15" s="50">
        <v>10</v>
      </c>
      <c r="W15" s="55" t="s">
        <v>244</v>
      </c>
      <c r="X15" s="46"/>
      <c r="Y15" s="26"/>
      <c r="Z15" s="26"/>
      <c r="AA15" s="47" t="s">
        <v>47</v>
      </c>
      <c r="AB15" s="47" t="s">
        <v>242</v>
      </c>
      <c r="AC15" s="47" t="s">
        <v>243</v>
      </c>
    </row>
    <row r="16" spans="1:29" ht="15.75" customHeight="1">
      <c r="A16" s="26"/>
      <c r="B16" s="37" t="s">
        <v>47</v>
      </c>
      <c r="C16" s="38" t="s">
        <v>61</v>
      </c>
      <c r="D16" s="38" t="s">
        <v>4</v>
      </c>
      <c r="E16" s="88">
        <v>0.1</v>
      </c>
      <c r="F16" s="89"/>
      <c r="G16" s="89"/>
      <c r="H16" s="89"/>
      <c r="I16" s="86">
        <v>0.1</v>
      </c>
      <c r="J16" s="90">
        <v>60</v>
      </c>
      <c r="K16" s="89"/>
      <c r="L16" s="86">
        <v>0.1</v>
      </c>
      <c r="M16" s="90" t="s">
        <v>224</v>
      </c>
      <c r="N16" s="26"/>
      <c r="O16" s="26"/>
      <c r="P16" s="45"/>
      <c r="Q16" s="50">
        <v>11</v>
      </c>
      <c r="R16" s="26" t="s">
        <v>245</v>
      </c>
      <c r="S16" s="46"/>
      <c r="T16" s="26"/>
      <c r="U16" s="45"/>
      <c r="V16" s="50">
        <v>11</v>
      </c>
      <c r="W16" s="26" t="s">
        <v>246</v>
      </c>
      <c r="X16" s="46"/>
      <c r="Y16" s="26"/>
      <c r="Z16" s="26"/>
      <c r="AA16" s="47" t="s">
        <v>247</v>
      </c>
      <c r="AB16" s="47" t="s">
        <v>242</v>
      </c>
      <c r="AC16" s="47" t="s">
        <v>243</v>
      </c>
    </row>
    <row r="17" spans="1:29" ht="15.75" customHeight="1">
      <c r="A17" s="26"/>
      <c r="B17" s="80" t="s">
        <v>247</v>
      </c>
      <c r="C17" s="38" t="s">
        <v>61</v>
      </c>
      <c r="D17" s="38" t="s">
        <v>4</v>
      </c>
      <c r="E17" s="88">
        <v>0.1</v>
      </c>
      <c r="F17" s="89"/>
      <c r="G17" s="89"/>
      <c r="H17" s="89"/>
      <c r="I17" s="86">
        <v>0.1</v>
      </c>
      <c r="J17" s="90">
        <v>60</v>
      </c>
      <c r="K17" s="89"/>
      <c r="L17" s="86">
        <v>0.1</v>
      </c>
      <c r="M17" s="90" t="s">
        <v>224</v>
      </c>
      <c r="N17" s="26"/>
      <c r="O17" s="26"/>
      <c r="P17" s="45"/>
      <c r="Q17" s="50">
        <v>12</v>
      </c>
      <c r="R17" s="26" t="s">
        <v>246</v>
      </c>
      <c r="S17" s="46"/>
      <c r="T17" s="26"/>
      <c r="U17" s="45"/>
      <c r="V17" s="50">
        <v>12</v>
      </c>
      <c r="W17" s="26" t="s">
        <v>248</v>
      </c>
      <c r="X17" s="46"/>
      <c r="Y17" s="26"/>
      <c r="Z17" s="26"/>
      <c r="AA17" s="47" t="s">
        <v>221</v>
      </c>
      <c r="AB17" s="47" t="s">
        <v>249</v>
      </c>
      <c r="AC17" s="47" t="s">
        <v>250</v>
      </c>
    </row>
    <row r="18" spans="1:29" ht="15.75" customHeight="1">
      <c r="A18" s="26"/>
      <c r="B18" s="94" t="s">
        <v>234</v>
      </c>
      <c r="C18" s="81" t="s">
        <v>61</v>
      </c>
      <c r="D18" s="81" t="s">
        <v>77</v>
      </c>
      <c r="E18" s="86">
        <v>0.1</v>
      </c>
      <c r="F18" s="95" t="s">
        <v>251</v>
      </c>
      <c r="G18" s="85"/>
      <c r="H18" s="85"/>
      <c r="I18" s="86">
        <v>0.1</v>
      </c>
      <c r="J18" s="90">
        <v>60</v>
      </c>
      <c r="K18" s="85"/>
      <c r="L18" s="86">
        <v>0.1</v>
      </c>
      <c r="M18" s="87" t="s">
        <v>224</v>
      </c>
      <c r="N18" s="26"/>
      <c r="O18" s="26"/>
      <c r="P18" s="96"/>
      <c r="Q18" s="97"/>
      <c r="R18" s="97"/>
      <c r="S18" s="98"/>
      <c r="T18" s="26"/>
      <c r="U18" s="96"/>
      <c r="V18" s="97"/>
      <c r="W18" s="97"/>
      <c r="X18" s="98"/>
      <c r="Y18" s="26"/>
      <c r="Z18" s="26"/>
      <c r="AA18" s="47" t="s">
        <v>217</v>
      </c>
      <c r="AB18" s="47" t="s">
        <v>252</v>
      </c>
      <c r="AC18" s="47" t="s">
        <v>253</v>
      </c>
    </row>
    <row r="19" spans="1:29" ht="15.75" customHeight="1">
      <c r="A19" s="26"/>
      <c r="B19" s="37" t="s">
        <v>37</v>
      </c>
      <c r="C19" s="38" t="s">
        <v>61</v>
      </c>
      <c r="D19" s="38" t="s">
        <v>4</v>
      </c>
      <c r="E19" s="92">
        <v>0.12</v>
      </c>
      <c r="F19" s="93"/>
      <c r="G19" s="84">
        <v>500000</v>
      </c>
      <c r="H19" s="89"/>
      <c r="I19" s="86">
        <v>0.1</v>
      </c>
      <c r="J19" s="90">
        <v>60</v>
      </c>
      <c r="K19" s="89"/>
      <c r="L19" s="86">
        <v>0.1</v>
      </c>
      <c r="M19" s="90" t="s">
        <v>224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47" t="s">
        <v>229</v>
      </c>
      <c r="AB19" s="47" t="s">
        <v>254</v>
      </c>
      <c r="AC19" s="47" t="s">
        <v>255</v>
      </c>
    </row>
    <row r="20" spans="1:29" ht="15.75" customHeight="1">
      <c r="A20" s="26"/>
      <c r="B20" s="37" t="s">
        <v>238</v>
      </c>
      <c r="C20" s="38" t="s">
        <v>61</v>
      </c>
      <c r="D20" s="38" t="s">
        <v>31</v>
      </c>
      <c r="E20" s="92">
        <v>0.12</v>
      </c>
      <c r="F20" s="83"/>
      <c r="G20" s="84">
        <v>500000</v>
      </c>
      <c r="H20" s="85"/>
      <c r="I20" s="86">
        <v>0.1</v>
      </c>
      <c r="J20" s="90">
        <v>60</v>
      </c>
      <c r="K20" s="85"/>
      <c r="L20" s="86">
        <v>0.1</v>
      </c>
      <c r="M20" s="87" t="s">
        <v>224</v>
      </c>
      <c r="N20" s="26"/>
      <c r="O20" s="26"/>
      <c r="P20" s="26"/>
      <c r="Q20" s="26"/>
      <c r="R20" s="27" t="s">
        <v>256</v>
      </c>
      <c r="S20" s="26"/>
      <c r="T20" s="26"/>
      <c r="U20" s="26"/>
      <c r="V20" s="26"/>
      <c r="W20" s="26"/>
      <c r="X20" s="26"/>
      <c r="Y20" s="26"/>
      <c r="Z20" s="26"/>
      <c r="AA20" s="47" t="s">
        <v>50</v>
      </c>
      <c r="AB20" s="47" t="s">
        <v>257</v>
      </c>
      <c r="AC20" s="47" t="s">
        <v>258</v>
      </c>
    </row>
    <row r="21" spans="1:29" ht="15.75" customHeight="1">
      <c r="A21" s="26"/>
      <c r="B21" s="37" t="s">
        <v>197</v>
      </c>
      <c r="C21" s="38" t="s">
        <v>61</v>
      </c>
      <c r="D21" s="39" t="s">
        <v>79</v>
      </c>
      <c r="E21" s="88">
        <v>0.1</v>
      </c>
      <c r="F21" s="95" t="s">
        <v>259</v>
      </c>
      <c r="G21" s="85"/>
      <c r="H21" s="85"/>
      <c r="I21" s="86">
        <v>0.1</v>
      </c>
      <c r="J21" s="90">
        <v>60</v>
      </c>
      <c r="K21" s="85"/>
      <c r="L21" s="86">
        <v>0.1</v>
      </c>
      <c r="M21" s="90" t="s">
        <v>224</v>
      </c>
      <c r="N21" s="26"/>
      <c r="O21" s="26"/>
      <c r="P21" s="26"/>
      <c r="Q21" s="26"/>
      <c r="R21" s="99" t="s">
        <v>260</v>
      </c>
      <c r="S21" s="26"/>
      <c r="T21" s="26"/>
      <c r="U21" s="26"/>
      <c r="V21" s="26"/>
      <c r="W21" s="26"/>
      <c r="X21" s="26"/>
      <c r="Y21" s="26"/>
      <c r="Z21" s="26"/>
      <c r="AA21" s="47" t="s">
        <v>200</v>
      </c>
      <c r="AB21" s="47" t="s">
        <v>257</v>
      </c>
      <c r="AC21" s="47" t="s">
        <v>258</v>
      </c>
    </row>
    <row r="22" spans="1:29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100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47" t="s">
        <v>193</v>
      </c>
      <c r="AB22" s="47" t="s">
        <v>257</v>
      </c>
      <c r="AC22" s="47" t="s">
        <v>258</v>
      </c>
    </row>
    <row r="23" spans="1:29" ht="15.75" customHeight="1">
      <c r="A23" s="26"/>
      <c r="B23" s="529" t="s">
        <v>261</v>
      </c>
      <c r="C23" s="522"/>
      <c r="D23" s="522"/>
      <c r="E23" s="522"/>
      <c r="F23" s="522"/>
      <c r="G23" s="522"/>
      <c r="H23" s="522"/>
      <c r="I23" s="522"/>
      <c r="J23" s="522"/>
      <c r="K23" s="522"/>
      <c r="L23" s="522"/>
      <c r="M23" s="523"/>
      <c r="N23" s="100"/>
      <c r="O23" s="26"/>
      <c r="P23" s="26"/>
      <c r="Q23" s="26"/>
      <c r="R23" s="27" t="s">
        <v>262</v>
      </c>
      <c r="S23" s="26"/>
      <c r="T23" s="26"/>
      <c r="U23" s="26"/>
      <c r="V23" s="101" t="s">
        <v>263</v>
      </c>
      <c r="W23" s="26"/>
      <c r="X23" s="26"/>
      <c r="Y23" s="26"/>
      <c r="Z23" s="26"/>
      <c r="AA23" s="26"/>
      <c r="AB23" s="26"/>
      <c r="AC23" s="26"/>
    </row>
    <row r="24" spans="1:29" ht="15.75" customHeight="1">
      <c r="A24" s="26"/>
      <c r="B24" s="524"/>
      <c r="C24" s="525"/>
      <c r="D24" s="525"/>
      <c r="E24" s="525"/>
      <c r="F24" s="525"/>
      <c r="G24" s="525"/>
      <c r="H24" s="525"/>
      <c r="I24" s="525"/>
      <c r="J24" s="525"/>
      <c r="K24" s="525"/>
      <c r="L24" s="525"/>
      <c r="M24" s="526"/>
      <c r="N24" s="26"/>
      <c r="O24" s="26"/>
      <c r="P24" s="26"/>
      <c r="Q24" s="26"/>
      <c r="R24" s="99" t="s">
        <v>264</v>
      </c>
      <c r="S24" s="26"/>
      <c r="T24" s="26"/>
      <c r="U24" s="26"/>
      <c r="V24" s="99" t="s">
        <v>265</v>
      </c>
      <c r="W24" s="26"/>
      <c r="X24" s="26"/>
      <c r="Y24" s="26"/>
      <c r="Z24" s="26"/>
      <c r="AA24" s="26"/>
      <c r="AB24" s="26"/>
      <c r="AC24" s="26"/>
    </row>
    <row r="25" spans="1:29" ht="15.75" customHeight="1">
      <c r="A25" s="26"/>
      <c r="B25" s="515" t="s">
        <v>266</v>
      </c>
      <c r="C25" s="516"/>
      <c r="D25" s="516"/>
      <c r="E25" s="516"/>
      <c r="F25" s="516"/>
      <c r="G25" s="516"/>
      <c r="H25" s="516"/>
      <c r="I25" s="516"/>
      <c r="J25" s="516"/>
      <c r="K25" s="516"/>
      <c r="L25" s="516"/>
      <c r="M25" s="517"/>
      <c r="N25" s="26"/>
      <c r="O25" s="26"/>
      <c r="P25" s="26"/>
      <c r="Q25" s="26"/>
      <c r="R25" s="26"/>
      <c r="S25" s="26"/>
      <c r="T25" s="26"/>
      <c r="U25" s="26"/>
      <c r="V25" s="519"/>
      <c r="W25" s="517"/>
      <c r="X25" s="26"/>
      <c r="Y25" s="26"/>
      <c r="Z25" s="26"/>
      <c r="AA25" s="26"/>
      <c r="AB25" s="26"/>
      <c r="AC25" s="26"/>
    </row>
    <row r="26" spans="1:29" ht="15.75" customHeight="1">
      <c r="A26" s="26"/>
      <c r="B26" s="515" t="s">
        <v>267</v>
      </c>
      <c r="C26" s="516"/>
      <c r="D26" s="516"/>
      <c r="E26" s="516"/>
      <c r="F26" s="516"/>
      <c r="G26" s="516"/>
      <c r="H26" s="516"/>
      <c r="I26" s="516"/>
      <c r="J26" s="516"/>
      <c r="K26" s="516"/>
      <c r="L26" s="516"/>
      <c r="M26" s="517"/>
      <c r="N26" s="100"/>
      <c r="O26" s="26"/>
      <c r="P26" s="26"/>
      <c r="Q26" s="26"/>
      <c r="R26" s="27" t="s">
        <v>268</v>
      </c>
      <c r="S26" s="26"/>
      <c r="T26" s="26"/>
      <c r="U26" s="26"/>
      <c r="V26" s="27" t="s">
        <v>269</v>
      </c>
      <c r="W26" s="26"/>
      <c r="X26" s="26"/>
      <c r="Y26" s="26"/>
      <c r="Z26" s="26"/>
      <c r="AA26" s="26"/>
      <c r="AB26" s="26"/>
      <c r="AC26" s="26"/>
    </row>
    <row r="27" spans="1:29" ht="15.75" customHeight="1">
      <c r="A27" s="26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26"/>
      <c r="P27" s="26"/>
      <c r="Q27" s="26"/>
      <c r="R27" s="26" t="s">
        <v>270</v>
      </c>
      <c r="S27" s="26"/>
      <c r="T27" s="26"/>
      <c r="U27" s="26"/>
      <c r="V27" s="26" t="s">
        <v>271</v>
      </c>
      <c r="W27" s="26"/>
      <c r="X27" s="26"/>
      <c r="Y27" s="26"/>
      <c r="Z27" s="26"/>
      <c r="AA27" s="26"/>
      <c r="AB27" s="26"/>
      <c r="AC27" s="26"/>
    </row>
    <row r="28" spans="1:29" ht="15.75" customHeight="1">
      <c r="A28" s="26"/>
      <c r="B28" s="515" t="s">
        <v>272</v>
      </c>
      <c r="C28" s="516"/>
      <c r="D28" s="516"/>
      <c r="E28" s="516"/>
      <c r="F28" s="516"/>
      <c r="G28" s="516"/>
      <c r="H28" s="516"/>
      <c r="I28" s="516"/>
      <c r="J28" s="516"/>
      <c r="K28" s="516"/>
      <c r="L28" s="516"/>
      <c r="M28" s="517"/>
      <c r="N28" s="100"/>
      <c r="O28" s="26"/>
      <c r="P28" s="26"/>
      <c r="Q28" s="26"/>
      <c r="R28" s="26" t="s">
        <v>273</v>
      </c>
      <c r="S28" s="26"/>
      <c r="T28" s="26"/>
      <c r="U28" s="26"/>
      <c r="V28" s="26" t="s">
        <v>274</v>
      </c>
      <c r="W28" s="26"/>
      <c r="X28" s="26"/>
      <c r="Y28" s="26"/>
      <c r="Z28" s="26"/>
      <c r="AA28" s="26"/>
      <c r="AB28" s="26"/>
      <c r="AC28" s="26"/>
    </row>
    <row r="29" spans="1:29" ht="15.75" customHeight="1">
      <c r="A29" s="26"/>
      <c r="B29" s="515" t="s">
        <v>275</v>
      </c>
      <c r="C29" s="516"/>
      <c r="D29" s="516"/>
      <c r="E29" s="516"/>
      <c r="F29" s="516"/>
      <c r="G29" s="516"/>
      <c r="H29" s="516"/>
      <c r="I29" s="516"/>
      <c r="J29" s="516"/>
      <c r="K29" s="516"/>
      <c r="L29" s="516"/>
      <c r="M29" s="517"/>
      <c r="N29" s="26"/>
      <c r="O29" s="26"/>
      <c r="P29" s="26"/>
      <c r="Q29" s="26"/>
      <c r="R29" s="26" t="s">
        <v>276</v>
      </c>
      <c r="S29" s="26"/>
      <c r="T29" s="26"/>
      <c r="U29" s="26"/>
      <c r="V29" s="26" t="s">
        <v>277</v>
      </c>
      <c r="W29" s="26"/>
      <c r="X29" s="26"/>
      <c r="Y29" s="26"/>
      <c r="Z29" s="26"/>
      <c r="AA29" s="26"/>
      <c r="AB29" s="26"/>
      <c r="AC29" s="26"/>
    </row>
    <row r="30" spans="1:29" ht="15.75" customHeight="1">
      <c r="A30" s="26"/>
      <c r="B30" s="515" t="s">
        <v>278</v>
      </c>
      <c r="C30" s="516"/>
      <c r="D30" s="516"/>
      <c r="E30" s="516"/>
      <c r="F30" s="516"/>
      <c r="G30" s="516"/>
      <c r="H30" s="516"/>
      <c r="I30" s="516"/>
      <c r="J30" s="516"/>
      <c r="K30" s="516"/>
      <c r="L30" s="516"/>
      <c r="M30" s="517"/>
      <c r="N30" s="26"/>
      <c r="O30" s="26"/>
      <c r="P30" s="26"/>
      <c r="Q30" s="26"/>
      <c r="R30" s="26" t="s">
        <v>279</v>
      </c>
      <c r="S30" s="26"/>
      <c r="T30" s="26"/>
      <c r="U30" s="26"/>
      <c r="V30" s="26"/>
      <c r="W30" s="26" t="s">
        <v>280</v>
      </c>
      <c r="X30" s="26"/>
      <c r="Y30" s="26"/>
      <c r="Z30" s="26"/>
      <c r="AA30" s="26"/>
      <c r="AB30" s="26"/>
      <c r="AC30" s="26"/>
    </row>
    <row r="31" spans="1:29" ht="15.75" customHeight="1">
      <c r="A31" s="26"/>
      <c r="B31" s="515" t="s">
        <v>281</v>
      </c>
      <c r="C31" s="516"/>
      <c r="D31" s="516"/>
      <c r="E31" s="516"/>
      <c r="F31" s="516"/>
      <c r="G31" s="516"/>
      <c r="H31" s="516"/>
      <c r="I31" s="516"/>
      <c r="J31" s="516"/>
      <c r="K31" s="516"/>
      <c r="L31" s="516"/>
      <c r="M31" s="517"/>
      <c r="N31" s="26"/>
      <c r="O31" s="26"/>
      <c r="P31" s="26"/>
      <c r="Q31" s="26"/>
      <c r="R31" s="99" t="s">
        <v>282</v>
      </c>
      <c r="S31" s="26"/>
      <c r="T31" s="26"/>
      <c r="U31" s="26"/>
      <c r="V31" s="26"/>
      <c r="W31" s="26" t="s">
        <v>283</v>
      </c>
      <c r="X31" s="26"/>
      <c r="Y31" s="26"/>
      <c r="Z31" s="26"/>
      <c r="AA31" s="26"/>
      <c r="AB31" s="26"/>
      <c r="AC31" s="26"/>
    </row>
    <row r="32" spans="1:29" ht="15.75" customHeight="1">
      <c r="A32" s="26"/>
      <c r="B32" s="518"/>
      <c r="C32" s="516"/>
      <c r="D32" s="516"/>
      <c r="E32" s="516"/>
      <c r="F32" s="516"/>
      <c r="G32" s="516"/>
      <c r="H32" s="516"/>
      <c r="I32" s="516"/>
      <c r="J32" s="516"/>
      <c r="K32" s="516"/>
      <c r="L32" s="516"/>
      <c r="M32" s="5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15.75" customHeight="1">
      <c r="A33" s="26"/>
      <c r="B33" s="102" t="s">
        <v>284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15.75" customHeight="1">
      <c r="A34" s="26"/>
      <c r="B34" s="26" t="s">
        <v>285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15.75" customHeight="1">
      <c r="A35" s="26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15.75" customHeight="1">
      <c r="A36" s="26"/>
      <c r="B36" s="103" t="s">
        <v>286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15.75" customHeight="1">
      <c r="A37" s="26"/>
      <c r="B37" s="26" t="s">
        <v>287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15.75" customHeight="1">
      <c r="A40" s="26"/>
      <c r="B40" s="519"/>
      <c r="C40" s="516"/>
      <c r="D40" s="517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15.75" customHeight="1">
      <c r="A42" s="26"/>
      <c r="B42" s="104" t="s">
        <v>288</v>
      </c>
      <c r="C42" s="16"/>
      <c r="D42" s="16"/>
      <c r="E42" s="16"/>
      <c r="F42" s="16"/>
      <c r="G42" s="105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15.75" customHeight="1">
      <c r="A43" s="26"/>
      <c r="B43" s="16"/>
      <c r="C43" s="16"/>
      <c r="D43" s="16"/>
      <c r="E43" s="16"/>
      <c r="F43" s="16"/>
      <c r="G43" s="105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15.75" customHeight="1">
      <c r="A44" s="26"/>
      <c r="B44" s="106" t="s">
        <v>65</v>
      </c>
      <c r="C44" s="520" t="s">
        <v>289</v>
      </c>
      <c r="D44" s="504"/>
      <c r="E44" s="504"/>
      <c r="F44" s="505"/>
      <c r="G44" s="105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15.75" customHeight="1">
      <c r="A45" s="26"/>
      <c r="B45" s="106" t="s">
        <v>64</v>
      </c>
      <c r="C45" s="520" t="s">
        <v>290</v>
      </c>
      <c r="D45" s="504"/>
      <c r="E45" s="504"/>
      <c r="F45" s="505"/>
      <c r="G45" s="105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15.75" customHeight="1">
      <c r="A46" s="26"/>
      <c r="B46" s="106" t="s">
        <v>6</v>
      </c>
      <c r="C46" s="16" t="s">
        <v>291</v>
      </c>
      <c r="D46" s="16"/>
      <c r="E46" s="16"/>
      <c r="F46" s="16"/>
      <c r="G46" s="105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15.75" customHeight="1">
      <c r="A47" s="26"/>
      <c r="B47" s="106" t="s">
        <v>8</v>
      </c>
      <c r="C47" s="16" t="s">
        <v>292</v>
      </c>
      <c r="D47" s="16"/>
      <c r="E47" s="16"/>
      <c r="F47" s="16"/>
      <c r="G47" s="105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15.75" customHeight="1">
      <c r="A48" s="26"/>
      <c r="B48" s="106" t="s">
        <v>3</v>
      </c>
      <c r="C48" s="16" t="s">
        <v>293</v>
      </c>
      <c r="D48" s="16"/>
      <c r="E48" s="16"/>
      <c r="F48" s="16"/>
      <c r="G48" s="105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15.75" customHeight="1">
      <c r="A49" s="26"/>
      <c r="B49" s="106" t="s">
        <v>72</v>
      </c>
      <c r="C49" s="16" t="s">
        <v>294</v>
      </c>
      <c r="D49" s="16"/>
      <c r="E49" s="16"/>
      <c r="F49" s="16"/>
      <c r="G49" s="105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15.75" customHeight="1">
      <c r="A50" s="26"/>
      <c r="B50" s="106" t="s">
        <v>63</v>
      </c>
      <c r="C50" s="16" t="s">
        <v>295</v>
      </c>
      <c r="D50" s="16"/>
      <c r="E50" s="16"/>
      <c r="F50" s="16"/>
      <c r="G50" s="105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15.75" customHeight="1">
      <c r="A51" s="26"/>
      <c r="B51" s="106" t="s">
        <v>18</v>
      </c>
      <c r="C51" s="16" t="s">
        <v>296</v>
      </c>
      <c r="D51" s="16"/>
      <c r="E51" s="16"/>
      <c r="F51" s="16"/>
      <c r="G51" s="105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15.75" customHeight="1">
      <c r="A52" s="26"/>
      <c r="B52" s="106" t="s">
        <v>14</v>
      </c>
      <c r="C52" s="16" t="s">
        <v>297</v>
      </c>
      <c r="D52" s="16"/>
      <c r="E52" s="16"/>
      <c r="F52" s="16"/>
      <c r="G52" s="105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15.75" customHeight="1">
      <c r="A53" s="26"/>
      <c r="B53" s="105"/>
      <c r="C53" s="105"/>
      <c r="D53" s="105"/>
      <c r="E53" s="105"/>
      <c r="F53" s="105"/>
      <c r="G53" s="105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 spans="1:29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 spans="1:29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 spans="1:29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40:D40"/>
    <mergeCell ref="C44:F44"/>
    <mergeCell ref="C45:F45"/>
    <mergeCell ref="Q1:W2"/>
    <mergeCell ref="Q9:R9"/>
    <mergeCell ref="V9:X9"/>
    <mergeCell ref="B23:M24"/>
    <mergeCell ref="B25:M25"/>
    <mergeCell ref="V25:W25"/>
    <mergeCell ref="B26:M26"/>
    <mergeCell ref="B28:M28"/>
    <mergeCell ref="B29:M29"/>
    <mergeCell ref="B30:M30"/>
    <mergeCell ref="B31:M31"/>
    <mergeCell ref="B32:M32"/>
  </mergeCells>
  <hyperlinks>
    <hyperlink ref="B3" r:id="rId1" xr:uid="{00000000-0004-0000-0A00-000000000000}"/>
    <hyperlink ref="C3" r:id="rId2" xr:uid="{00000000-0004-0000-0A00-000001000000}"/>
    <hyperlink ref="R21" r:id="rId3" xr:uid="{00000000-0004-0000-0A00-000002000000}"/>
    <hyperlink ref="R24" r:id="rId4" xr:uid="{00000000-0004-0000-0A00-000003000000}"/>
    <hyperlink ref="V24" r:id="rId5" xr:uid="{00000000-0004-0000-0A00-000004000000}"/>
    <hyperlink ref="R31" r:id="rId6" xr:uid="{00000000-0004-0000-0A00-000005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5703125" defaultRowHeight="15" customHeight="1"/>
  <cols>
    <col min="8" max="8" width="14.42578125" customWidth="1"/>
    <col min="14" max="14" width="18.7109375" customWidth="1"/>
    <col min="18" max="18" width="48.5703125" customWidth="1"/>
  </cols>
  <sheetData>
    <row r="1" spans="1:26" ht="15.75" customHeight="1">
      <c r="A1" s="107"/>
      <c r="B1" s="565" t="s">
        <v>298</v>
      </c>
      <c r="C1" s="566"/>
      <c r="D1" s="566"/>
      <c r="E1" s="566"/>
      <c r="F1" s="566"/>
      <c r="G1" s="566"/>
      <c r="H1" s="566"/>
      <c r="I1" s="566"/>
      <c r="J1" s="566"/>
      <c r="K1" s="566"/>
      <c r="L1" s="566"/>
      <c r="M1" s="566"/>
      <c r="N1" s="566"/>
      <c r="O1" s="566"/>
      <c r="P1" s="566"/>
      <c r="Q1" s="566"/>
      <c r="R1" s="567"/>
      <c r="S1" s="107"/>
      <c r="T1" s="107"/>
      <c r="U1" s="107"/>
      <c r="V1" s="107"/>
      <c r="W1" s="107"/>
      <c r="X1" s="107"/>
      <c r="Y1" s="107"/>
      <c r="Z1" s="107"/>
    </row>
    <row r="2" spans="1:26" ht="15.75" customHeight="1">
      <c r="A2" s="107"/>
      <c r="B2" s="108" t="s">
        <v>299</v>
      </c>
      <c r="C2" s="107"/>
      <c r="D2" s="109" t="s">
        <v>300</v>
      </c>
      <c r="E2" s="107"/>
      <c r="F2" s="110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 spans="1:26" ht="15.75" customHeight="1">
      <c r="A3" s="107"/>
      <c r="B3" s="111" t="s">
        <v>301</v>
      </c>
      <c r="C3" s="112"/>
      <c r="D3" s="113"/>
      <c r="E3" s="112"/>
      <c r="F3" s="113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4"/>
      <c r="S3" s="107"/>
      <c r="T3" s="107"/>
      <c r="U3" s="107"/>
      <c r="V3" s="107"/>
      <c r="W3" s="107"/>
      <c r="X3" s="107"/>
      <c r="Y3" s="107"/>
      <c r="Z3" s="107"/>
    </row>
    <row r="4" spans="1:26" ht="15.75" customHeight="1">
      <c r="A4" s="107"/>
      <c r="B4" s="115" t="s">
        <v>302</v>
      </c>
      <c r="C4" s="116" t="s">
        <v>303</v>
      </c>
      <c r="D4" s="117" t="s">
        <v>304</v>
      </c>
      <c r="E4" s="118" t="s">
        <v>305</v>
      </c>
      <c r="F4" s="116" t="s">
        <v>306</v>
      </c>
      <c r="G4" s="116" t="s">
        <v>307</v>
      </c>
      <c r="H4" s="119" t="s">
        <v>129</v>
      </c>
      <c r="I4" s="115" t="s">
        <v>308</v>
      </c>
      <c r="J4" s="120" t="s">
        <v>309</v>
      </c>
      <c r="K4" s="115" t="s">
        <v>310</v>
      </c>
      <c r="L4" s="120" t="s">
        <v>311</v>
      </c>
      <c r="M4" s="121" t="s">
        <v>312</v>
      </c>
      <c r="N4" s="116" t="s">
        <v>313</v>
      </c>
      <c r="O4" s="119" t="s">
        <v>314</v>
      </c>
      <c r="P4" s="122" t="s">
        <v>315</v>
      </c>
      <c r="Q4" s="119" t="s">
        <v>316</v>
      </c>
      <c r="R4" s="123" t="s">
        <v>317</v>
      </c>
      <c r="S4" s="107"/>
      <c r="T4" s="107"/>
      <c r="U4" s="107"/>
      <c r="V4" s="107"/>
      <c r="W4" s="107"/>
      <c r="X4" s="107"/>
      <c r="Y4" s="107"/>
      <c r="Z4" s="107"/>
    </row>
    <row r="5" spans="1:26" ht="15.75" customHeight="1">
      <c r="A5" s="107"/>
      <c r="B5" s="568" t="s">
        <v>318</v>
      </c>
      <c r="C5" s="530" t="s">
        <v>319</v>
      </c>
      <c r="D5" s="541" t="s">
        <v>61</v>
      </c>
      <c r="E5" s="542">
        <v>210000</v>
      </c>
      <c r="F5" s="543" t="s">
        <v>320</v>
      </c>
      <c r="G5" s="548" t="s">
        <v>320</v>
      </c>
      <c r="H5" s="124" t="s">
        <v>321</v>
      </c>
      <c r="I5" s="125">
        <v>0</v>
      </c>
      <c r="J5" s="126">
        <v>0</v>
      </c>
      <c r="K5" s="125">
        <v>0</v>
      </c>
      <c r="L5" s="126">
        <v>0</v>
      </c>
      <c r="M5" s="557" t="s">
        <v>61</v>
      </c>
      <c r="N5" s="541" t="s">
        <v>322</v>
      </c>
      <c r="O5" s="127"/>
      <c r="P5" s="128" t="s">
        <v>323</v>
      </c>
      <c r="Q5" s="129">
        <v>0.02</v>
      </c>
      <c r="R5" s="130"/>
      <c r="S5" s="107"/>
      <c r="T5" s="107"/>
      <c r="U5" s="107"/>
      <c r="V5" s="107"/>
      <c r="W5" s="107"/>
      <c r="X5" s="107"/>
      <c r="Y5" s="107"/>
      <c r="Z5" s="107"/>
    </row>
    <row r="6" spans="1:26" ht="15.75" customHeight="1">
      <c r="A6" s="107"/>
      <c r="B6" s="534"/>
      <c r="C6" s="531"/>
      <c r="D6" s="531"/>
      <c r="E6" s="531"/>
      <c r="F6" s="531"/>
      <c r="G6" s="539"/>
      <c r="H6" s="131" t="s">
        <v>324</v>
      </c>
      <c r="I6" s="132">
        <v>0</v>
      </c>
      <c r="J6" s="133">
        <v>1</v>
      </c>
      <c r="K6" s="132">
        <v>0</v>
      </c>
      <c r="L6" s="133">
        <v>1</v>
      </c>
      <c r="M6" s="534"/>
      <c r="N6" s="531"/>
      <c r="O6" s="134"/>
      <c r="P6" s="135" t="s">
        <v>323</v>
      </c>
      <c r="Q6" s="136"/>
      <c r="R6" s="137" t="s">
        <v>325</v>
      </c>
      <c r="S6" s="107"/>
      <c r="T6" s="107"/>
      <c r="U6" s="107"/>
      <c r="V6" s="107"/>
      <c r="W6" s="107"/>
      <c r="X6" s="107"/>
      <c r="Y6" s="107"/>
      <c r="Z6" s="107"/>
    </row>
    <row r="7" spans="1:26" ht="15.75" customHeight="1">
      <c r="A7" s="107"/>
      <c r="B7" s="534"/>
      <c r="C7" s="531"/>
      <c r="D7" s="531"/>
      <c r="E7" s="531"/>
      <c r="F7" s="531"/>
      <c r="G7" s="539"/>
      <c r="H7" s="131" t="s">
        <v>326</v>
      </c>
      <c r="I7" s="132">
        <v>1</v>
      </c>
      <c r="J7" s="133">
        <v>1</v>
      </c>
      <c r="K7" s="132">
        <v>1</v>
      </c>
      <c r="L7" s="133">
        <v>1</v>
      </c>
      <c r="M7" s="534"/>
      <c r="N7" s="531"/>
      <c r="O7" s="134"/>
      <c r="P7" s="135" t="s">
        <v>323</v>
      </c>
      <c r="Q7" s="138">
        <v>0.02</v>
      </c>
      <c r="R7" s="139"/>
      <c r="S7" s="107"/>
      <c r="T7" s="107"/>
      <c r="U7" s="107"/>
      <c r="V7" s="107"/>
      <c r="W7" s="107"/>
      <c r="X7" s="107"/>
      <c r="Y7" s="107"/>
      <c r="Z7" s="107"/>
    </row>
    <row r="8" spans="1:26" ht="15.75" customHeight="1">
      <c r="A8" s="107"/>
      <c r="B8" s="534"/>
      <c r="C8" s="531"/>
      <c r="D8" s="531"/>
      <c r="E8" s="531"/>
      <c r="F8" s="531"/>
      <c r="G8" s="539"/>
      <c r="H8" s="131" t="s">
        <v>327</v>
      </c>
      <c r="I8" s="132">
        <v>1</v>
      </c>
      <c r="J8" s="133">
        <v>1</v>
      </c>
      <c r="K8" s="132">
        <v>1</v>
      </c>
      <c r="L8" s="133">
        <v>1</v>
      </c>
      <c r="M8" s="534"/>
      <c r="N8" s="531"/>
      <c r="O8" s="140" t="s">
        <v>328</v>
      </c>
      <c r="P8" s="141" t="s">
        <v>323</v>
      </c>
      <c r="Q8" s="142">
        <v>0.02</v>
      </c>
      <c r="R8" s="143"/>
      <c r="S8" s="107"/>
      <c r="T8" s="107"/>
      <c r="U8" s="107"/>
      <c r="V8" s="107"/>
      <c r="W8" s="107"/>
      <c r="X8" s="107"/>
      <c r="Y8" s="107"/>
      <c r="Z8" s="107"/>
    </row>
    <row r="9" spans="1:26" ht="15.75" customHeight="1">
      <c r="A9" s="107"/>
      <c r="B9" s="534"/>
      <c r="C9" s="531"/>
      <c r="D9" s="531"/>
      <c r="E9" s="531"/>
      <c r="F9" s="531"/>
      <c r="G9" s="539"/>
      <c r="H9" s="131" t="s">
        <v>109</v>
      </c>
      <c r="I9" s="132">
        <v>1</v>
      </c>
      <c r="J9" s="133">
        <v>1</v>
      </c>
      <c r="K9" s="132">
        <v>1</v>
      </c>
      <c r="L9" s="133">
        <v>1</v>
      </c>
      <c r="M9" s="534"/>
      <c r="N9" s="531"/>
      <c r="O9" s="144"/>
      <c r="P9" s="135" t="s">
        <v>323</v>
      </c>
      <c r="Q9" s="138">
        <v>0.02</v>
      </c>
      <c r="R9" s="107"/>
      <c r="S9" s="107"/>
      <c r="T9" s="107"/>
      <c r="U9" s="107"/>
      <c r="V9" s="107"/>
      <c r="W9" s="107"/>
      <c r="X9" s="107"/>
      <c r="Y9" s="107"/>
      <c r="Z9" s="107"/>
    </row>
    <row r="10" spans="1:26" ht="15.75" customHeight="1">
      <c r="A10" s="107"/>
      <c r="B10" s="534"/>
      <c r="C10" s="531"/>
      <c r="D10" s="531"/>
      <c r="E10" s="531"/>
      <c r="F10" s="531"/>
      <c r="G10" s="539"/>
      <c r="H10" s="131" t="s">
        <v>329</v>
      </c>
      <c r="I10" s="132">
        <v>1</v>
      </c>
      <c r="J10" s="133">
        <v>1</v>
      </c>
      <c r="K10" s="132">
        <v>1</v>
      </c>
      <c r="L10" s="133">
        <v>1</v>
      </c>
      <c r="M10" s="534"/>
      <c r="N10" s="558"/>
      <c r="O10" s="134"/>
      <c r="P10" s="145" t="s">
        <v>323</v>
      </c>
      <c r="Q10" s="146"/>
      <c r="R10" s="139"/>
      <c r="S10" s="107"/>
      <c r="T10" s="107"/>
      <c r="U10" s="107"/>
      <c r="V10" s="107"/>
      <c r="W10" s="107"/>
      <c r="X10" s="107"/>
      <c r="Y10" s="107"/>
      <c r="Z10" s="107"/>
    </row>
    <row r="11" spans="1:26" ht="15.75" customHeight="1">
      <c r="A11" s="107"/>
      <c r="B11" s="568" t="s">
        <v>330</v>
      </c>
      <c r="C11" s="530" t="s">
        <v>331</v>
      </c>
      <c r="D11" s="530" t="s">
        <v>61</v>
      </c>
      <c r="E11" s="536">
        <v>249000</v>
      </c>
      <c r="F11" s="543" t="s">
        <v>320</v>
      </c>
      <c r="G11" s="548" t="s">
        <v>320</v>
      </c>
      <c r="H11" s="124" t="s">
        <v>5</v>
      </c>
      <c r="I11" s="125">
        <v>0</v>
      </c>
      <c r="J11" s="126">
        <v>0</v>
      </c>
      <c r="K11" s="125">
        <v>1</v>
      </c>
      <c r="L11" s="126">
        <v>1</v>
      </c>
      <c r="M11" s="557" t="s">
        <v>61</v>
      </c>
      <c r="N11" s="541" t="s">
        <v>332</v>
      </c>
      <c r="O11" s="559"/>
      <c r="P11" s="147" t="s">
        <v>323</v>
      </c>
      <c r="Q11" s="148"/>
      <c r="R11" s="149" t="s">
        <v>333</v>
      </c>
      <c r="S11" s="560" t="s">
        <v>1</v>
      </c>
      <c r="T11" s="107"/>
      <c r="U11" s="107"/>
      <c r="V11" s="107"/>
      <c r="W11" s="107"/>
      <c r="X11" s="107"/>
      <c r="Y11" s="107"/>
      <c r="Z11" s="107"/>
    </row>
    <row r="12" spans="1:26" ht="15.75" customHeight="1">
      <c r="A12" s="107"/>
      <c r="B12" s="534"/>
      <c r="C12" s="531"/>
      <c r="D12" s="531"/>
      <c r="E12" s="531"/>
      <c r="F12" s="531"/>
      <c r="G12" s="539"/>
      <c r="H12" s="131" t="s">
        <v>324</v>
      </c>
      <c r="I12" s="132">
        <v>1</v>
      </c>
      <c r="J12" s="133">
        <v>1</v>
      </c>
      <c r="K12" s="132">
        <v>1</v>
      </c>
      <c r="L12" s="133">
        <v>1</v>
      </c>
      <c r="M12" s="534"/>
      <c r="N12" s="531"/>
      <c r="O12" s="539"/>
      <c r="P12" s="147" t="s">
        <v>323</v>
      </c>
      <c r="Q12" s="148"/>
      <c r="R12" s="150" t="s">
        <v>334</v>
      </c>
      <c r="S12" s="561"/>
      <c r="T12" s="107"/>
      <c r="U12" s="107"/>
      <c r="V12" s="107"/>
      <c r="W12" s="107"/>
      <c r="X12" s="107"/>
      <c r="Y12" s="107"/>
      <c r="Z12" s="107"/>
    </row>
    <row r="13" spans="1:26" ht="15.75" customHeight="1">
      <c r="A13" s="107" t="s">
        <v>335</v>
      </c>
      <c r="B13" s="534"/>
      <c r="C13" s="531"/>
      <c r="D13" s="531"/>
      <c r="E13" s="531"/>
      <c r="F13" s="531"/>
      <c r="G13" s="539"/>
      <c r="H13" s="131" t="s">
        <v>326</v>
      </c>
      <c r="I13" s="132">
        <v>1</v>
      </c>
      <c r="J13" s="133">
        <v>1</v>
      </c>
      <c r="K13" s="132">
        <v>1</v>
      </c>
      <c r="L13" s="133">
        <v>1</v>
      </c>
      <c r="M13" s="534"/>
      <c r="N13" s="531"/>
      <c r="O13" s="539"/>
      <c r="P13" s="147" t="s">
        <v>323</v>
      </c>
      <c r="Q13" s="148"/>
      <c r="R13" s="151" t="s">
        <v>336</v>
      </c>
      <c r="S13" s="561"/>
      <c r="T13" s="107"/>
      <c r="U13" s="107"/>
      <c r="V13" s="107"/>
      <c r="W13" s="107"/>
      <c r="X13" s="107"/>
      <c r="Y13" s="107"/>
      <c r="Z13" s="107"/>
    </row>
    <row r="14" spans="1:26" ht="15.75" customHeight="1">
      <c r="A14" s="107"/>
      <c r="B14" s="534"/>
      <c r="C14" s="531"/>
      <c r="D14" s="531"/>
      <c r="E14" s="531"/>
      <c r="F14" s="531"/>
      <c r="G14" s="539"/>
      <c r="H14" s="131" t="s">
        <v>327</v>
      </c>
      <c r="I14" s="132">
        <v>1</v>
      </c>
      <c r="J14" s="133">
        <v>1</v>
      </c>
      <c r="K14" s="132">
        <v>1</v>
      </c>
      <c r="L14" s="133">
        <v>1</v>
      </c>
      <c r="M14" s="534"/>
      <c r="N14" s="531"/>
      <c r="O14" s="539"/>
      <c r="P14" s="152">
        <v>0.25</v>
      </c>
      <c r="Q14" s="148"/>
      <c r="R14" s="153" t="s">
        <v>337</v>
      </c>
      <c r="S14" s="561"/>
      <c r="T14" s="107"/>
      <c r="U14" s="107"/>
      <c r="V14" s="107"/>
      <c r="W14" s="107"/>
      <c r="X14" s="107"/>
      <c r="Y14" s="107"/>
      <c r="Z14" s="107"/>
    </row>
    <row r="15" spans="1:26" ht="15.75" customHeight="1">
      <c r="A15" s="107"/>
      <c r="B15" s="534"/>
      <c r="C15" s="531"/>
      <c r="D15" s="531"/>
      <c r="E15" s="531"/>
      <c r="F15" s="531"/>
      <c r="G15" s="539"/>
      <c r="H15" s="131" t="s">
        <v>104</v>
      </c>
      <c r="I15" s="132">
        <v>1</v>
      </c>
      <c r="J15" s="133">
        <v>1</v>
      </c>
      <c r="K15" s="132">
        <v>1</v>
      </c>
      <c r="L15" s="133">
        <v>1</v>
      </c>
      <c r="M15" s="534"/>
      <c r="N15" s="531"/>
      <c r="O15" s="539"/>
      <c r="P15" s="152">
        <v>0.25</v>
      </c>
      <c r="Q15" s="148"/>
      <c r="R15" s="153" t="s">
        <v>338</v>
      </c>
      <c r="S15" s="561"/>
      <c r="T15" s="107"/>
      <c r="U15" s="107"/>
      <c r="V15" s="107"/>
      <c r="W15" s="107"/>
      <c r="X15" s="107"/>
      <c r="Y15" s="107"/>
      <c r="Z15" s="107"/>
    </row>
    <row r="16" spans="1:26" ht="15.75" customHeight="1">
      <c r="A16" s="107"/>
      <c r="B16" s="534"/>
      <c r="C16" s="531"/>
      <c r="D16" s="531"/>
      <c r="E16" s="531"/>
      <c r="F16" s="531"/>
      <c r="G16" s="539"/>
      <c r="H16" s="131" t="s">
        <v>109</v>
      </c>
      <c r="I16" s="132">
        <v>1</v>
      </c>
      <c r="J16" s="133">
        <v>1</v>
      </c>
      <c r="K16" s="132">
        <v>1</v>
      </c>
      <c r="L16" s="133">
        <v>1</v>
      </c>
      <c r="M16" s="534"/>
      <c r="N16" s="531"/>
      <c r="O16" s="539"/>
      <c r="P16" s="147" t="s">
        <v>323</v>
      </c>
      <c r="Q16" s="148"/>
      <c r="R16" s="563" t="s">
        <v>339</v>
      </c>
      <c r="S16" s="561"/>
      <c r="T16" s="107"/>
      <c r="U16" s="107"/>
      <c r="V16" s="107"/>
      <c r="W16" s="107"/>
      <c r="X16" s="107"/>
      <c r="Y16" s="107"/>
      <c r="Z16" s="107"/>
    </row>
    <row r="17" spans="1:26" ht="15.75" customHeight="1">
      <c r="A17" s="107"/>
      <c r="B17" s="535"/>
      <c r="C17" s="532"/>
      <c r="D17" s="532"/>
      <c r="E17" s="532"/>
      <c r="F17" s="532"/>
      <c r="G17" s="540"/>
      <c r="H17" s="143" t="s">
        <v>340</v>
      </c>
      <c r="I17" s="155">
        <v>1</v>
      </c>
      <c r="J17" s="156">
        <v>1</v>
      </c>
      <c r="K17" s="155">
        <v>1</v>
      </c>
      <c r="L17" s="156">
        <v>1</v>
      </c>
      <c r="M17" s="535"/>
      <c r="N17" s="532"/>
      <c r="O17" s="540"/>
      <c r="P17" s="157" t="s">
        <v>323</v>
      </c>
      <c r="Q17" s="158"/>
      <c r="R17" s="564"/>
      <c r="S17" s="562"/>
      <c r="T17" s="107"/>
      <c r="U17" s="107"/>
      <c r="V17" s="107"/>
      <c r="W17" s="107"/>
      <c r="X17" s="107"/>
      <c r="Y17" s="107"/>
      <c r="Z17" s="107"/>
    </row>
    <row r="18" spans="1:26" ht="15.75" customHeight="1">
      <c r="A18" s="107"/>
      <c r="B18" s="568" t="s">
        <v>341</v>
      </c>
      <c r="C18" s="530" t="s">
        <v>319</v>
      </c>
      <c r="D18" s="530" t="s">
        <v>61</v>
      </c>
      <c r="E18" s="536">
        <v>218000</v>
      </c>
      <c r="F18" s="543" t="s">
        <v>320</v>
      </c>
      <c r="G18" s="548" t="s">
        <v>320</v>
      </c>
      <c r="H18" s="124" t="s">
        <v>5</v>
      </c>
      <c r="I18" s="125">
        <v>0</v>
      </c>
      <c r="J18" s="126">
        <v>0</v>
      </c>
      <c r="K18" s="125">
        <v>1</v>
      </c>
      <c r="L18" s="126">
        <v>1</v>
      </c>
      <c r="M18" s="572" t="s">
        <v>61</v>
      </c>
      <c r="N18" s="541" t="s">
        <v>342</v>
      </c>
      <c r="O18" s="559"/>
      <c r="P18" s="128" t="s">
        <v>323</v>
      </c>
      <c r="Q18" s="159"/>
      <c r="R18" s="149" t="s">
        <v>343</v>
      </c>
      <c r="S18" s="575" t="s">
        <v>1</v>
      </c>
      <c r="T18" s="107"/>
      <c r="U18" s="107"/>
      <c r="V18" s="107"/>
      <c r="W18" s="107"/>
      <c r="X18" s="107"/>
      <c r="Y18" s="107"/>
      <c r="Z18" s="107"/>
    </row>
    <row r="19" spans="1:26" ht="15.75" customHeight="1">
      <c r="A19" s="107"/>
      <c r="B19" s="534"/>
      <c r="C19" s="531"/>
      <c r="D19" s="531"/>
      <c r="E19" s="531"/>
      <c r="F19" s="531"/>
      <c r="G19" s="539"/>
      <c r="H19" s="131" t="s">
        <v>324</v>
      </c>
      <c r="I19" s="132">
        <v>0</v>
      </c>
      <c r="J19" s="133">
        <v>0</v>
      </c>
      <c r="K19" s="132">
        <v>1</v>
      </c>
      <c r="L19" s="133">
        <v>1</v>
      </c>
      <c r="M19" s="573"/>
      <c r="N19" s="531"/>
      <c r="O19" s="539"/>
      <c r="P19" s="135" t="s">
        <v>323</v>
      </c>
      <c r="Q19" s="136"/>
      <c r="R19" s="150" t="s">
        <v>334</v>
      </c>
      <c r="S19" s="576"/>
      <c r="T19" s="107"/>
      <c r="U19" s="107"/>
      <c r="V19" s="107"/>
      <c r="W19" s="107"/>
      <c r="X19" s="107"/>
      <c r="Y19" s="107"/>
      <c r="Z19" s="107"/>
    </row>
    <row r="20" spans="1:26" ht="15.75" customHeight="1">
      <c r="A20" s="107"/>
      <c r="B20" s="534"/>
      <c r="C20" s="531"/>
      <c r="D20" s="531"/>
      <c r="E20" s="531"/>
      <c r="F20" s="531"/>
      <c r="G20" s="539"/>
      <c r="H20" s="131" t="s">
        <v>326</v>
      </c>
      <c r="I20" s="132">
        <v>0</v>
      </c>
      <c r="J20" s="133">
        <v>0</v>
      </c>
      <c r="K20" s="132">
        <v>1</v>
      </c>
      <c r="L20" s="133">
        <v>1</v>
      </c>
      <c r="M20" s="573"/>
      <c r="N20" s="531"/>
      <c r="O20" s="539"/>
      <c r="P20" s="135" t="s">
        <v>323</v>
      </c>
      <c r="Q20" s="136"/>
      <c r="R20" s="151" t="s">
        <v>344</v>
      </c>
      <c r="S20" s="576"/>
      <c r="T20" s="107"/>
      <c r="U20" s="107"/>
      <c r="V20" s="107"/>
      <c r="W20" s="107"/>
      <c r="X20" s="107"/>
      <c r="Y20" s="107"/>
      <c r="Z20" s="107"/>
    </row>
    <row r="21" spans="1:26" ht="15.75" customHeight="1">
      <c r="A21" s="107" t="s">
        <v>335</v>
      </c>
      <c r="B21" s="534"/>
      <c r="C21" s="531"/>
      <c r="D21" s="531"/>
      <c r="E21" s="531"/>
      <c r="F21" s="531"/>
      <c r="G21" s="539"/>
      <c r="H21" s="131" t="s">
        <v>327</v>
      </c>
      <c r="I21" s="132">
        <v>0</v>
      </c>
      <c r="J21" s="133">
        <v>0</v>
      </c>
      <c r="K21" s="132">
        <v>1</v>
      </c>
      <c r="L21" s="133">
        <v>1</v>
      </c>
      <c r="M21" s="573"/>
      <c r="N21" s="531"/>
      <c r="O21" s="539"/>
      <c r="P21" s="135" t="s">
        <v>323</v>
      </c>
      <c r="Q21" s="136"/>
      <c r="R21" s="139"/>
      <c r="S21" s="576"/>
      <c r="T21" s="107"/>
      <c r="U21" s="107"/>
      <c r="V21" s="107"/>
      <c r="W21" s="107"/>
      <c r="X21" s="107"/>
      <c r="Y21" s="107"/>
      <c r="Z21" s="107"/>
    </row>
    <row r="22" spans="1:26" ht="15.75" customHeight="1">
      <c r="A22" s="107"/>
      <c r="B22" s="534"/>
      <c r="C22" s="531"/>
      <c r="D22" s="531"/>
      <c r="E22" s="531"/>
      <c r="F22" s="531"/>
      <c r="G22" s="539"/>
      <c r="H22" s="131" t="s">
        <v>104</v>
      </c>
      <c r="I22" s="132">
        <v>0</v>
      </c>
      <c r="J22" s="133">
        <v>1</v>
      </c>
      <c r="K22" s="132">
        <v>1</v>
      </c>
      <c r="L22" s="133">
        <v>1</v>
      </c>
      <c r="M22" s="573"/>
      <c r="N22" s="531"/>
      <c r="O22" s="539"/>
      <c r="P22" s="135" t="s">
        <v>323</v>
      </c>
      <c r="Q22" s="136"/>
      <c r="R22" s="153" t="s">
        <v>345</v>
      </c>
      <c r="S22" s="576"/>
      <c r="T22" s="107"/>
      <c r="U22" s="107"/>
      <c r="V22" s="107"/>
      <c r="W22" s="107"/>
      <c r="X22" s="107"/>
      <c r="Y22" s="107"/>
      <c r="Z22" s="107"/>
    </row>
    <row r="23" spans="1:26" ht="15.75" customHeight="1">
      <c r="A23" s="107"/>
      <c r="B23" s="534"/>
      <c r="C23" s="531"/>
      <c r="D23" s="531"/>
      <c r="E23" s="531"/>
      <c r="F23" s="531"/>
      <c r="G23" s="539"/>
      <c r="H23" s="131" t="s">
        <v>346</v>
      </c>
      <c r="I23" s="132">
        <v>0</v>
      </c>
      <c r="J23" s="133">
        <v>1</v>
      </c>
      <c r="K23" s="132">
        <v>1</v>
      </c>
      <c r="L23" s="133">
        <v>1</v>
      </c>
      <c r="M23" s="573"/>
      <c r="N23" s="531"/>
      <c r="O23" s="539"/>
      <c r="P23" s="135" t="s">
        <v>323</v>
      </c>
      <c r="Q23" s="136"/>
      <c r="R23" s="139"/>
      <c r="S23" s="576"/>
      <c r="T23" s="107"/>
      <c r="U23" s="107"/>
      <c r="V23" s="107"/>
      <c r="W23" s="107"/>
      <c r="X23" s="107"/>
      <c r="Y23" s="107"/>
      <c r="Z23" s="107"/>
    </row>
    <row r="24" spans="1:26" ht="15.75" customHeight="1">
      <c r="A24" s="107"/>
      <c r="B24" s="534"/>
      <c r="C24" s="531"/>
      <c r="D24" s="531"/>
      <c r="E24" s="531"/>
      <c r="F24" s="531"/>
      <c r="G24" s="539"/>
      <c r="H24" s="131" t="s">
        <v>109</v>
      </c>
      <c r="I24" s="132">
        <v>0</v>
      </c>
      <c r="J24" s="133">
        <v>1</v>
      </c>
      <c r="K24" s="132">
        <v>1</v>
      </c>
      <c r="L24" s="133">
        <v>1</v>
      </c>
      <c r="M24" s="573"/>
      <c r="N24" s="531"/>
      <c r="O24" s="539"/>
      <c r="P24" s="135" t="s">
        <v>323</v>
      </c>
      <c r="Q24" s="136"/>
      <c r="R24" s="563" t="s">
        <v>339</v>
      </c>
      <c r="S24" s="576"/>
      <c r="T24" s="107"/>
      <c r="U24" s="107"/>
      <c r="V24" s="107"/>
      <c r="W24" s="107"/>
      <c r="X24" s="107"/>
      <c r="Y24" s="107"/>
      <c r="Z24" s="107"/>
    </row>
    <row r="25" spans="1:26" ht="15.75" customHeight="1">
      <c r="A25" s="107"/>
      <c r="B25" s="535"/>
      <c r="C25" s="532"/>
      <c r="D25" s="532"/>
      <c r="E25" s="532"/>
      <c r="F25" s="532"/>
      <c r="G25" s="540"/>
      <c r="H25" s="143" t="s">
        <v>113</v>
      </c>
      <c r="I25" s="155">
        <v>0</v>
      </c>
      <c r="J25" s="156">
        <v>1</v>
      </c>
      <c r="K25" s="155">
        <v>1</v>
      </c>
      <c r="L25" s="156">
        <v>1</v>
      </c>
      <c r="M25" s="574"/>
      <c r="N25" s="532"/>
      <c r="O25" s="540"/>
      <c r="P25" s="141">
        <v>0.2</v>
      </c>
      <c r="Q25" s="146"/>
      <c r="R25" s="564"/>
      <c r="S25" s="564"/>
      <c r="T25" s="107"/>
      <c r="U25" s="107"/>
      <c r="V25" s="107"/>
      <c r="W25" s="107"/>
      <c r="X25" s="107"/>
      <c r="Y25" s="107"/>
      <c r="Z25" s="107"/>
    </row>
    <row r="26" spans="1:26" ht="15.75" customHeight="1">
      <c r="A26" s="107"/>
      <c r="B26" s="568" t="s">
        <v>347</v>
      </c>
      <c r="C26" s="160"/>
      <c r="D26" s="160"/>
      <c r="E26" s="161"/>
      <c r="F26" s="162"/>
      <c r="G26" s="163"/>
      <c r="H26" s="124" t="s">
        <v>348</v>
      </c>
      <c r="I26" s="164">
        <v>1</v>
      </c>
      <c r="J26" s="165">
        <v>1</v>
      </c>
      <c r="K26" s="164">
        <v>1</v>
      </c>
      <c r="L26" s="165">
        <v>1</v>
      </c>
      <c r="M26" s="569" t="s">
        <v>61</v>
      </c>
      <c r="N26" s="570" t="s">
        <v>349</v>
      </c>
      <c r="O26" s="571"/>
      <c r="P26" s="167">
        <v>0.2</v>
      </c>
      <c r="Q26" s="168"/>
      <c r="R26" s="149" t="s">
        <v>350</v>
      </c>
      <c r="S26" s="560" t="s">
        <v>1</v>
      </c>
      <c r="T26" s="107"/>
      <c r="U26" s="107"/>
      <c r="V26" s="107"/>
      <c r="W26" s="107"/>
      <c r="X26" s="107"/>
      <c r="Y26" s="107"/>
      <c r="Z26" s="107"/>
    </row>
    <row r="27" spans="1:26" ht="15.75" customHeight="1">
      <c r="A27" s="107"/>
      <c r="B27" s="534"/>
      <c r="C27" s="169" t="s">
        <v>319</v>
      </c>
      <c r="D27" s="166" t="s">
        <v>61</v>
      </c>
      <c r="E27" s="170">
        <v>225000</v>
      </c>
      <c r="F27" s="171" t="s">
        <v>320</v>
      </c>
      <c r="G27" s="172"/>
      <c r="H27" s="173" t="s">
        <v>351</v>
      </c>
      <c r="I27" s="164">
        <v>1</v>
      </c>
      <c r="J27" s="165">
        <v>1</v>
      </c>
      <c r="K27" s="164">
        <v>1</v>
      </c>
      <c r="L27" s="165">
        <v>1</v>
      </c>
      <c r="M27" s="534"/>
      <c r="N27" s="531"/>
      <c r="O27" s="539"/>
      <c r="P27" s="174">
        <v>0.17399999999999999</v>
      </c>
      <c r="Q27" s="175"/>
      <c r="R27" s="139"/>
      <c r="S27" s="561"/>
      <c r="T27" s="107"/>
      <c r="U27" s="107"/>
      <c r="V27" s="107"/>
      <c r="W27" s="107"/>
      <c r="X27" s="107"/>
      <c r="Y27" s="107"/>
      <c r="Z27" s="107"/>
    </row>
    <row r="28" spans="1:26" ht="15.75" customHeight="1">
      <c r="A28" s="107" t="s">
        <v>335</v>
      </c>
      <c r="B28" s="534"/>
      <c r="C28" s="176"/>
      <c r="D28" s="176"/>
      <c r="E28" s="177"/>
      <c r="F28" s="178"/>
      <c r="G28" s="179" t="s">
        <v>320</v>
      </c>
      <c r="H28" s="180"/>
      <c r="I28" s="181"/>
      <c r="J28" s="182"/>
      <c r="K28" s="181"/>
      <c r="L28" s="182"/>
      <c r="M28" s="534"/>
      <c r="N28" s="531"/>
      <c r="O28" s="539"/>
      <c r="P28" s="183"/>
      <c r="Q28" s="184"/>
      <c r="R28" s="151" t="s">
        <v>352</v>
      </c>
      <c r="S28" s="561"/>
      <c r="T28" s="107"/>
      <c r="U28" s="107"/>
      <c r="V28" s="107"/>
      <c r="W28" s="107"/>
      <c r="X28" s="107"/>
      <c r="Y28" s="107"/>
      <c r="Z28" s="107"/>
    </row>
    <row r="29" spans="1:26" ht="15.75" customHeight="1">
      <c r="A29" s="107"/>
      <c r="B29" s="534"/>
      <c r="C29" s="176"/>
      <c r="D29" s="176"/>
      <c r="E29" s="177"/>
      <c r="F29" s="178"/>
      <c r="G29" s="172"/>
      <c r="H29" s="131"/>
      <c r="I29" s="185"/>
      <c r="J29" s="186"/>
      <c r="K29" s="185"/>
      <c r="L29" s="186"/>
      <c r="M29" s="534"/>
      <c r="N29" s="531"/>
      <c r="O29" s="539"/>
      <c r="P29" s="187"/>
      <c r="Q29" s="188"/>
      <c r="R29" s="189" t="s">
        <v>353</v>
      </c>
      <c r="S29" s="561"/>
      <c r="T29" s="107"/>
      <c r="U29" s="107"/>
      <c r="V29" s="107"/>
      <c r="W29" s="107"/>
      <c r="X29" s="107"/>
      <c r="Y29" s="107"/>
      <c r="Z29" s="107"/>
    </row>
    <row r="30" spans="1:26" ht="15.75" customHeight="1">
      <c r="A30" s="107"/>
      <c r="B30" s="568" t="s">
        <v>354</v>
      </c>
      <c r="C30" s="541" t="s">
        <v>319</v>
      </c>
      <c r="D30" s="530" t="s">
        <v>61</v>
      </c>
      <c r="E30" s="542">
        <v>216000</v>
      </c>
      <c r="F30" s="543" t="s">
        <v>320</v>
      </c>
      <c r="G30" s="548" t="s">
        <v>320</v>
      </c>
      <c r="H30" s="124" t="s">
        <v>324</v>
      </c>
      <c r="I30" s="132">
        <v>0</v>
      </c>
      <c r="J30" s="133">
        <v>0</v>
      </c>
      <c r="K30" s="132">
        <v>1</v>
      </c>
      <c r="L30" s="133">
        <v>1</v>
      </c>
      <c r="M30" s="577" t="s">
        <v>61</v>
      </c>
      <c r="N30" s="541" t="s">
        <v>355</v>
      </c>
      <c r="O30" s="127"/>
      <c r="P30" s="190">
        <v>0.25</v>
      </c>
      <c r="Q30" s="191"/>
      <c r="R30" s="149" t="s">
        <v>356</v>
      </c>
      <c r="S30" s="560" t="s">
        <v>1</v>
      </c>
      <c r="T30" s="107"/>
      <c r="U30" s="107"/>
      <c r="V30" s="107"/>
      <c r="W30" s="107"/>
      <c r="X30" s="107"/>
      <c r="Y30" s="107"/>
      <c r="Z30" s="107"/>
    </row>
    <row r="31" spans="1:26" ht="15.75" customHeight="1">
      <c r="A31" s="107"/>
      <c r="B31" s="534"/>
      <c r="C31" s="531"/>
      <c r="D31" s="531"/>
      <c r="E31" s="531"/>
      <c r="F31" s="531"/>
      <c r="G31" s="539"/>
      <c r="H31" s="131" t="s">
        <v>357</v>
      </c>
      <c r="I31" s="132">
        <v>0</v>
      </c>
      <c r="J31" s="133">
        <v>1</v>
      </c>
      <c r="K31" s="132">
        <v>1</v>
      </c>
      <c r="L31" s="133">
        <v>1</v>
      </c>
      <c r="M31" s="534"/>
      <c r="N31" s="531"/>
      <c r="O31" s="134"/>
      <c r="P31" s="147" t="s">
        <v>323</v>
      </c>
      <c r="Q31" s="148"/>
      <c r="R31" s="150" t="s">
        <v>334</v>
      </c>
      <c r="S31" s="561"/>
      <c r="T31" s="107"/>
      <c r="U31" s="107"/>
      <c r="V31" s="107"/>
      <c r="W31" s="107"/>
      <c r="X31" s="107"/>
      <c r="Y31" s="107"/>
      <c r="Z31" s="107"/>
    </row>
    <row r="32" spans="1:26" ht="15.75" customHeight="1">
      <c r="A32" s="107" t="s">
        <v>335</v>
      </c>
      <c r="B32" s="534"/>
      <c r="C32" s="531"/>
      <c r="D32" s="531"/>
      <c r="E32" s="531"/>
      <c r="F32" s="531"/>
      <c r="G32" s="539"/>
      <c r="H32" s="131" t="s">
        <v>358</v>
      </c>
      <c r="I32" s="132">
        <v>0</v>
      </c>
      <c r="J32" s="133">
        <v>1</v>
      </c>
      <c r="K32" s="132">
        <v>1</v>
      </c>
      <c r="L32" s="133">
        <v>1</v>
      </c>
      <c r="M32" s="534"/>
      <c r="N32" s="531"/>
      <c r="O32" s="134"/>
      <c r="P32" s="147" t="s">
        <v>323</v>
      </c>
      <c r="Q32" s="148"/>
      <c r="R32" s="151" t="s">
        <v>359</v>
      </c>
      <c r="S32" s="561"/>
      <c r="T32" s="107"/>
      <c r="U32" s="107"/>
      <c r="V32" s="107"/>
      <c r="W32" s="107"/>
      <c r="X32" s="107"/>
      <c r="Y32" s="107"/>
      <c r="Z32" s="107"/>
    </row>
    <row r="33" spans="1:26" ht="15.75" customHeight="1">
      <c r="A33" s="107"/>
      <c r="B33" s="534"/>
      <c r="C33" s="531"/>
      <c r="D33" s="531"/>
      <c r="E33" s="531"/>
      <c r="F33" s="531"/>
      <c r="G33" s="539"/>
      <c r="H33" s="131" t="s">
        <v>360</v>
      </c>
      <c r="I33" s="132">
        <v>0</v>
      </c>
      <c r="J33" s="133">
        <v>1</v>
      </c>
      <c r="K33" s="132">
        <v>1</v>
      </c>
      <c r="L33" s="133">
        <v>1</v>
      </c>
      <c r="M33" s="534"/>
      <c r="N33" s="531"/>
      <c r="O33" s="144"/>
      <c r="P33" s="147" t="s">
        <v>323</v>
      </c>
      <c r="Q33" s="148"/>
      <c r="R33" s="139"/>
      <c r="S33" s="561"/>
      <c r="T33" s="107"/>
      <c r="U33" s="107"/>
      <c r="V33" s="107"/>
      <c r="W33" s="107"/>
      <c r="X33" s="107"/>
      <c r="Y33" s="107"/>
      <c r="Z33" s="107"/>
    </row>
    <row r="34" spans="1:26" ht="15.75" customHeight="1">
      <c r="A34" s="107"/>
      <c r="B34" s="534"/>
      <c r="C34" s="531"/>
      <c r="D34" s="531"/>
      <c r="E34" s="531"/>
      <c r="F34" s="531"/>
      <c r="G34" s="539"/>
      <c r="H34" s="131" t="s">
        <v>361</v>
      </c>
      <c r="I34" s="132">
        <v>1</v>
      </c>
      <c r="J34" s="133">
        <v>1</v>
      </c>
      <c r="K34" s="132">
        <v>1</v>
      </c>
      <c r="L34" s="133">
        <v>1</v>
      </c>
      <c r="M34" s="534"/>
      <c r="N34" s="531"/>
      <c r="O34" s="134"/>
      <c r="P34" s="147" t="s">
        <v>323</v>
      </c>
      <c r="Q34" s="148"/>
      <c r="R34" s="563" t="s">
        <v>339</v>
      </c>
      <c r="S34" s="561"/>
      <c r="T34" s="107"/>
      <c r="U34" s="107"/>
      <c r="V34" s="107"/>
      <c r="W34" s="107"/>
      <c r="X34" s="107"/>
      <c r="Y34" s="107"/>
      <c r="Z34" s="107"/>
    </row>
    <row r="35" spans="1:26" ht="15.75" customHeight="1">
      <c r="A35" s="107"/>
      <c r="B35" s="535"/>
      <c r="C35" s="532"/>
      <c r="D35" s="532"/>
      <c r="E35" s="532"/>
      <c r="F35" s="532"/>
      <c r="G35" s="540"/>
      <c r="H35" s="143" t="s">
        <v>362</v>
      </c>
      <c r="I35" s="192">
        <v>1</v>
      </c>
      <c r="J35" s="193">
        <v>1</v>
      </c>
      <c r="K35" s="192">
        <v>1</v>
      </c>
      <c r="L35" s="193">
        <v>1</v>
      </c>
      <c r="M35" s="535"/>
      <c r="N35" s="532"/>
      <c r="O35" s="194"/>
      <c r="P35" s="195" t="s">
        <v>323</v>
      </c>
      <c r="Q35" s="158"/>
      <c r="R35" s="564"/>
      <c r="S35" s="562"/>
      <c r="T35" s="107"/>
      <c r="U35" s="107"/>
      <c r="V35" s="107"/>
      <c r="W35" s="107"/>
      <c r="X35" s="107"/>
      <c r="Y35" s="107"/>
      <c r="Z35" s="107"/>
    </row>
    <row r="36" spans="1:26" ht="15.75" customHeight="1">
      <c r="A36" s="107"/>
      <c r="B36" s="568" t="s">
        <v>363</v>
      </c>
      <c r="C36" s="530" t="s">
        <v>364</v>
      </c>
      <c r="D36" s="530" t="s">
        <v>61</v>
      </c>
      <c r="E36" s="536">
        <v>227000</v>
      </c>
      <c r="F36" s="543" t="s">
        <v>320</v>
      </c>
      <c r="G36" s="548" t="s">
        <v>320</v>
      </c>
      <c r="H36" s="124" t="s">
        <v>365</v>
      </c>
      <c r="I36" s="125">
        <v>1</v>
      </c>
      <c r="J36" s="126">
        <v>1</v>
      </c>
      <c r="K36" s="125">
        <v>1</v>
      </c>
      <c r="L36" s="126">
        <v>1</v>
      </c>
      <c r="M36" s="577" t="s">
        <v>61</v>
      </c>
      <c r="N36" s="541" t="s">
        <v>366</v>
      </c>
      <c r="O36" s="559"/>
      <c r="P36" s="196" t="s">
        <v>323</v>
      </c>
      <c r="Q36" s="197"/>
      <c r="R36" s="150" t="s">
        <v>367</v>
      </c>
      <c r="S36" s="107"/>
      <c r="T36" s="107"/>
      <c r="U36" s="107"/>
      <c r="V36" s="107"/>
      <c r="W36" s="107"/>
      <c r="X36" s="107"/>
      <c r="Y36" s="107"/>
      <c r="Z36" s="107"/>
    </row>
    <row r="37" spans="1:26" ht="15.75" customHeight="1">
      <c r="A37" s="107"/>
      <c r="B37" s="534"/>
      <c r="C37" s="531"/>
      <c r="D37" s="531"/>
      <c r="E37" s="531"/>
      <c r="F37" s="531"/>
      <c r="G37" s="539"/>
      <c r="H37" s="131" t="s">
        <v>327</v>
      </c>
      <c r="I37" s="132">
        <v>1</v>
      </c>
      <c r="J37" s="133">
        <v>1</v>
      </c>
      <c r="K37" s="132">
        <v>1</v>
      </c>
      <c r="L37" s="133">
        <v>1</v>
      </c>
      <c r="M37" s="534"/>
      <c r="N37" s="531"/>
      <c r="O37" s="539"/>
      <c r="P37" s="198" t="s">
        <v>323</v>
      </c>
      <c r="Q37" s="199"/>
      <c r="R37" s="200" t="s">
        <v>368</v>
      </c>
      <c r="S37" s="107"/>
      <c r="T37" s="107"/>
      <c r="U37" s="107"/>
      <c r="V37" s="107"/>
      <c r="W37" s="107"/>
      <c r="X37" s="107"/>
      <c r="Y37" s="107"/>
      <c r="Z37" s="107"/>
    </row>
    <row r="38" spans="1:26" ht="15.75" customHeight="1">
      <c r="A38" s="107"/>
      <c r="B38" s="535"/>
      <c r="C38" s="532"/>
      <c r="D38" s="532"/>
      <c r="E38" s="532"/>
      <c r="F38" s="532"/>
      <c r="G38" s="540"/>
      <c r="H38" s="201" t="s">
        <v>369</v>
      </c>
      <c r="I38" s="155">
        <v>1</v>
      </c>
      <c r="J38" s="156">
        <v>1</v>
      </c>
      <c r="K38" s="202">
        <v>1</v>
      </c>
      <c r="L38" s="203">
        <v>1</v>
      </c>
      <c r="M38" s="535"/>
      <c r="N38" s="532"/>
      <c r="O38" s="540"/>
      <c r="P38" s="195" t="s">
        <v>323</v>
      </c>
      <c r="Q38" s="158"/>
      <c r="R38" s="139"/>
      <c r="S38" s="107"/>
      <c r="T38" s="107"/>
      <c r="U38" s="107"/>
      <c r="V38" s="107"/>
      <c r="W38" s="107"/>
      <c r="X38" s="107"/>
      <c r="Y38" s="107"/>
      <c r="Z38" s="107"/>
    </row>
    <row r="39" spans="1:26" ht="15.75" customHeight="1">
      <c r="A39" s="107"/>
      <c r="B39" s="568" t="s">
        <v>370</v>
      </c>
      <c r="C39" s="541" t="s">
        <v>331</v>
      </c>
      <c r="D39" s="530" t="s">
        <v>61</v>
      </c>
      <c r="E39" s="542">
        <v>205000</v>
      </c>
      <c r="F39" s="543" t="s">
        <v>320</v>
      </c>
      <c r="G39" s="548" t="s">
        <v>320</v>
      </c>
      <c r="H39" s="124" t="s">
        <v>321</v>
      </c>
      <c r="I39" s="125">
        <v>0</v>
      </c>
      <c r="J39" s="126">
        <v>1</v>
      </c>
      <c r="K39" s="125">
        <v>0</v>
      </c>
      <c r="L39" s="126">
        <v>0</v>
      </c>
      <c r="M39" s="577" t="s">
        <v>61</v>
      </c>
      <c r="N39" s="570" t="s">
        <v>371</v>
      </c>
      <c r="O39" s="127"/>
      <c r="P39" s="190" t="s">
        <v>323</v>
      </c>
      <c r="Q39" s="191"/>
      <c r="R39" s="204" t="s">
        <v>372</v>
      </c>
      <c r="S39" s="579" t="s">
        <v>1</v>
      </c>
      <c r="T39" s="107"/>
      <c r="U39" s="107"/>
      <c r="V39" s="107"/>
      <c r="W39" s="107"/>
      <c r="X39" s="107"/>
      <c r="Y39" s="107"/>
      <c r="Z39" s="107"/>
    </row>
    <row r="40" spans="1:26" ht="15.75" customHeight="1">
      <c r="A40" s="107" t="s">
        <v>335</v>
      </c>
      <c r="B40" s="534"/>
      <c r="C40" s="531"/>
      <c r="D40" s="531"/>
      <c r="E40" s="531"/>
      <c r="F40" s="531"/>
      <c r="G40" s="539"/>
      <c r="H40" s="131" t="s">
        <v>324</v>
      </c>
      <c r="I40" s="132">
        <v>1</v>
      </c>
      <c r="J40" s="133">
        <v>1</v>
      </c>
      <c r="K40" s="132">
        <v>0</v>
      </c>
      <c r="L40" s="133">
        <v>0</v>
      </c>
      <c r="M40" s="534"/>
      <c r="N40" s="531"/>
      <c r="O40" s="134"/>
      <c r="P40" s="147" t="s">
        <v>323</v>
      </c>
      <c r="Q40" s="148"/>
      <c r="R40" s="150" t="s">
        <v>334</v>
      </c>
      <c r="S40" s="576"/>
      <c r="T40" s="107"/>
      <c r="U40" s="107"/>
      <c r="V40" s="107"/>
      <c r="W40" s="107"/>
      <c r="X40" s="107"/>
      <c r="Y40" s="107"/>
      <c r="Z40" s="107"/>
    </row>
    <row r="41" spans="1:26" ht="15.75" customHeight="1">
      <c r="A41" s="107"/>
      <c r="B41" s="534"/>
      <c r="C41" s="531"/>
      <c r="D41" s="531"/>
      <c r="E41" s="531"/>
      <c r="F41" s="531"/>
      <c r="G41" s="539"/>
      <c r="H41" s="131" t="s">
        <v>357</v>
      </c>
      <c r="I41" s="132">
        <v>1</v>
      </c>
      <c r="J41" s="133">
        <v>1</v>
      </c>
      <c r="K41" s="132">
        <v>1</v>
      </c>
      <c r="L41" s="133">
        <v>1</v>
      </c>
      <c r="M41" s="534"/>
      <c r="N41" s="531"/>
      <c r="O41" s="144"/>
      <c r="P41" s="147">
        <v>0.23</v>
      </c>
      <c r="Q41" s="148"/>
      <c r="R41" s="151" t="s">
        <v>373</v>
      </c>
      <c r="S41" s="576"/>
      <c r="T41" s="107"/>
      <c r="U41" s="107"/>
      <c r="V41" s="107"/>
      <c r="W41" s="107"/>
      <c r="X41" s="107"/>
      <c r="Y41" s="107"/>
      <c r="Z41" s="107"/>
    </row>
    <row r="42" spans="1:26" ht="15.75" customHeight="1">
      <c r="A42" s="107"/>
      <c r="B42" s="534"/>
      <c r="C42" s="531"/>
      <c r="D42" s="531"/>
      <c r="E42" s="531"/>
      <c r="F42" s="531"/>
      <c r="G42" s="539"/>
      <c r="H42" s="131" t="s">
        <v>360</v>
      </c>
      <c r="I42" s="132">
        <v>1</v>
      </c>
      <c r="J42" s="133">
        <v>1</v>
      </c>
      <c r="K42" s="132">
        <v>1</v>
      </c>
      <c r="L42" s="133">
        <v>1</v>
      </c>
      <c r="M42" s="534"/>
      <c r="N42" s="531"/>
      <c r="O42" s="134"/>
      <c r="P42" s="147" t="s">
        <v>323</v>
      </c>
      <c r="Q42" s="148"/>
      <c r="R42" s="153" t="s">
        <v>345</v>
      </c>
      <c r="S42" s="576"/>
      <c r="T42" s="107"/>
      <c r="U42" s="107"/>
      <c r="V42" s="107"/>
      <c r="W42" s="107"/>
      <c r="X42" s="107"/>
      <c r="Y42" s="107"/>
      <c r="Z42" s="107"/>
    </row>
    <row r="43" spans="1:26" ht="15.75" customHeight="1">
      <c r="A43" s="107"/>
      <c r="B43" s="535"/>
      <c r="C43" s="532"/>
      <c r="D43" s="532"/>
      <c r="E43" s="532"/>
      <c r="F43" s="532"/>
      <c r="G43" s="540"/>
      <c r="H43" s="143" t="s">
        <v>361</v>
      </c>
      <c r="I43" s="202">
        <v>1</v>
      </c>
      <c r="J43" s="203">
        <v>1</v>
      </c>
      <c r="K43" s="202">
        <v>1</v>
      </c>
      <c r="L43" s="203">
        <v>1</v>
      </c>
      <c r="M43" s="535"/>
      <c r="N43" s="532"/>
      <c r="O43" s="194"/>
      <c r="P43" s="195" t="s">
        <v>323</v>
      </c>
      <c r="Q43" s="158"/>
      <c r="R43" s="143"/>
      <c r="S43" s="564"/>
      <c r="T43" s="107"/>
      <c r="U43" s="107"/>
      <c r="V43" s="107"/>
      <c r="W43" s="107"/>
      <c r="X43" s="107"/>
      <c r="Y43" s="107"/>
      <c r="Z43" s="107"/>
    </row>
    <row r="44" spans="1:26" ht="15.75" customHeight="1">
      <c r="A44" s="107"/>
      <c r="B44" s="568" t="s">
        <v>374</v>
      </c>
      <c r="C44" s="530" t="s">
        <v>331</v>
      </c>
      <c r="D44" s="530" t="s">
        <v>61</v>
      </c>
      <c r="E44" s="536">
        <v>219000</v>
      </c>
      <c r="F44" s="543" t="s">
        <v>320</v>
      </c>
      <c r="G44" s="578" t="s">
        <v>320</v>
      </c>
      <c r="H44" s="124" t="s">
        <v>324</v>
      </c>
      <c r="I44" s="125">
        <v>1</v>
      </c>
      <c r="J44" s="126">
        <v>1</v>
      </c>
      <c r="K44" s="125">
        <v>0</v>
      </c>
      <c r="L44" s="126">
        <v>1</v>
      </c>
      <c r="M44" s="572" t="s">
        <v>61</v>
      </c>
      <c r="N44" s="541" t="s">
        <v>375</v>
      </c>
      <c r="O44" s="580"/>
      <c r="P44" s="190" t="s">
        <v>323</v>
      </c>
      <c r="Q44" s="191"/>
      <c r="R44" s="205" t="s">
        <v>376</v>
      </c>
      <c r="S44" s="107"/>
      <c r="T44" s="107"/>
      <c r="U44" s="107"/>
      <c r="V44" s="107"/>
      <c r="W44" s="107"/>
      <c r="X44" s="107"/>
      <c r="Y44" s="107"/>
      <c r="Z44" s="107"/>
    </row>
    <row r="45" spans="1:26" ht="15.75" customHeight="1">
      <c r="A45" s="107"/>
      <c r="B45" s="534"/>
      <c r="C45" s="531"/>
      <c r="D45" s="531"/>
      <c r="E45" s="531"/>
      <c r="F45" s="531"/>
      <c r="G45" s="539"/>
      <c r="H45" s="131" t="s">
        <v>326</v>
      </c>
      <c r="I45" s="132">
        <v>1</v>
      </c>
      <c r="J45" s="133">
        <v>1</v>
      </c>
      <c r="K45" s="132">
        <v>0</v>
      </c>
      <c r="L45" s="133">
        <v>1</v>
      </c>
      <c r="M45" s="573"/>
      <c r="N45" s="531"/>
      <c r="O45" s="555"/>
      <c r="P45" s="147" t="s">
        <v>323</v>
      </c>
      <c r="Q45" s="148"/>
      <c r="R45" s="150" t="s">
        <v>334</v>
      </c>
      <c r="S45" s="107"/>
      <c r="T45" s="107"/>
      <c r="U45" s="107"/>
      <c r="V45" s="107"/>
      <c r="W45" s="107"/>
      <c r="X45" s="107"/>
      <c r="Y45" s="107"/>
      <c r="Z45" s="107"/>
    </row>
    <row r="46" spans="1:26" ht="15.75" customHeight="1">
      <c r="A46" s="107" t="s">
        <v>335</v>
      </c>
      <c r="B46" s="534"/>
      <c r="C46" s="531"/>
      <c r="D46" s="531"/>
      <c r="E46" s="531"/>
      <c r="F46" s="531"/>
      <c r="G46" s="539"/>
      <c r="H46" s="131" t="s">
        <v>327</v>
      </c>
      <c r="I46" s="132">
        <v>1</v>
      </c>
      <c r="J46" s="133">
        <v>1</v>
      </c>
      <c r="K46" s="132">
        <v>0</v>
      </c>
      <c r="L46" s="133">
        <v>1</v>
      </c>
      <c r="M46" s="573"/>
      <c r="N46" s="531"/>
      <c r="O46" s="555"/>
      <c r="P46" s="147" t="s">
        <v>323</v>
      </c>
      <c r="Q46" s="148"/>
      <c r="R46" s="206"/>
      <c r="S46" s="107"/>
      <c r="T46" s="107"/>
      <c r="U46" s="107"/>
      <c r="V46" s="107"/>
      <c r="W46" s="107"/>
      <c r="X46" s="107"/>
      <c r="Y46" s="107"/>
      <c r="Z46" s="107"/>
    </row>
    <row r="47" spans="1:26" ht="15.75" customHeight="1">
      <c r="A47" s="107"/>
      <c r="B47" s="534"/>
      <c r="C47" s="531"/>
      <c r="D47" s="531"/>
      <c r="E47" s="531"/>
      <c r="F47" s="531"/>
      <c r="G47" s="539"/>
      <c r="H47" s="131" t="s">
        <v>104</v>
      </c>
      <c r="I47" s="132">
        <v>1</v>
      </c>
      <c r="J47" s="133">
        <v>1</v>
      </c>
      <c r="K47" s="132">
        <v>0</v>
      </c>
      <c r="L47" s="133">
        <v>1</v>
      </c>
      <c r="M47" s="573"/>
      <c r="N47" s="531"/>
      <c r="O47" s="555"/>
      <c r="P47" s="147" t="s">
        <v>323</v>
      </c>
      <c r="Q47" s="148"/>
      <c r="R47" s="207"/>
      <c r="S47" s="107"/>
      <c r="T47" s="107"/>
      <c r="U47" s="107"/>
      <c r="V47" s="107"/>
      <c r="W47" s="107"/>
      <c r="X47" s="107"/>
      <c r="Y47" s="107"/>
      <c r="Z47" s="107"/>
    </row>
    <row r="48" spans="1:26" ht="15.75" customHeight="1">
      <c r="A48" s="107"/>
      <c r="B48" s="534"/>
      <c r="C48" s="531"/>
      <c r="D48" s="531"/>
      <c r="E48" s="531"/>
      <c r="F48" s="531"/>
      <c r="G48" s="539"/>
      <c r="H48" s="131" t="s">
        <v>109</v>
      </c>
      <c r="I48" s="132">
        <v>1</v>
      </c>
      <c r="J48" s="133">
        <v>1</v>
      </c>
      <c r="K48" s="132">
        <v>0</v>
      </c>
      <c r="L48" s="133">
        <v>1</v>
      </c>
      <c r="M48" s="573"/>
      <c r="N48" s="531"/>
      <c r="O48" s="555"/>
      <c r="P48" s="147">
        <v>0.18</v>
      </c>
      <c r="Q48" s="148"/>
      <c r="R48" s="563" t="s">
        <v>377</v>
      </c>
      <c r="S48" s="107"/>
      <c r="T48" s="107"/>
      <c r="U48" s="107"/>
      <c r="V48" s="107"/>
      <c r="W48" s="107"/>
      <c r="X48" s="107"/>
      <c r="Y48" s="107"/>
      <c r="Z48" s="107"/>
    </row>
    <row r="49" spans="1:26" ht="15.75" customHeight="1">
      <c r="A49" s="107"/>
      <c r="B49" s="535"/>
      <c r="C49" s="532"/>
      <c r="D49" s="532"/>
      <c r="E49" s="532"/>
      <c r="F49" s="532"/>
      <c r="G49" s="540"/>
      <c r="H49" s="143" t="s">
        <v>113</v>
      </c>
      <c r="I49" s="155">
        <v>1</v>
      </c>
      <c r="J49" s="156">
        <v>1</v>
      </c>
      <c r="K49" s="155">
        <v>0</v>
      </c>
      <c r="L49" s="156">
        <v>1</v>
      </c>
      <c r="M49" s="574"/>
      <c r="N49" s="532"/>
      <c r="O49" s="556"/>
      <c r="P49" s="195">
        <v>0.18</v>
      </c>
      <c r="Q49" s="158"/>
      <c r="R49" s="564"/>
      <c r="S49" s="107"/>
      <c r="T49" s="107"/>
      <c r="U49" s="107"/>
      <c r="V49" s="107"/>
      <c r="W49" s="107"/>
      <c r="X49" s="107"/>
      <c r="Y49" s="107"/>
      <c r="Z49" s="107"/>
    </row>
    <row r="50" spans="1:26" ht="15.75" customHeight="1">
      <c r="A50" s="107"/>
      <c r="B50" s="568" t="s">
        <v>378</v>
      </c>
      <c r="C50" s="530" t="s">
        <v>319</v>
      </c>
      <c r="D50" s="541" t="s">
        <v>61</v>
      </c>
      <c r="E50" s="536">
        <v>226000</v>
      </c>
      <c r="F50" s="543" t="s">
        <v>320</v>
      </c>
      <c r="G50" s="548" t="s">
        <v>320</v>
      </c>
      <c r="H50" s="208" t="s">
        <v>321</v>
      </c>
      <c r="I50" s="125">
        <v>0</v>
      </c>
      <c r="J50" s="126">
        <v>0</v>
      </c>
      <c r="K50" s="125">
        <v>1</v>
      </c>
      <c r="L50" s="126">
        <v>1</v>
      </c>
      <c r="M50" s="581" t="s">
        <v>61</v>
      </c>
      <c r="N50" s="541" t="s">
        <v>379</v>
      </c>
      <c r="O50" s="559"/>
      <c r="P50" s="209">
        <v>0.15</v>
      </c>
      <c r="Q50" s="197"/>
      <c r="R50" s="205" t="s">
        <v>380</v>
      </c>
      <c r="S50" s="584" t="s">
        <v>1</v>
      </c>
      <c r="T50" s="107"/>
      <c r="U50" s="107"/>
      <c r="V50" s="107"/>
      <c r="W50" s="107"/>
      <c r="X50" s="107"/>
      <c r="Y50" s="107"/>
      <c r="Z50" s="107"/>
    </row>
    <row r="51" spans="1:26" ht="15.75" customHeight="1">
      <c r="A51" s="107"/>
      <c r="B51" s="534"/>
      <c r="C51" s="531"/>
      <c r="D51" s="531"/>
      <c r="E51" s="531"/>
      <c r="F51" s="531"/>
      <c r="G51" s="539"/>
      <c r="H51" s="210" t="s">
        <v>324</v>
      </c>
      <c r="I51" s="164">
        <v>0</v>
      </c>
      <c r="J51" s="165">
        <v>1</v>
      </c>
      <c r="K51" s="164">
        <v>1</v>
      </c>
      <c r="L51" s="165">
        <v>1</v>
      </c>
      <c r="M51" s="582"/>
      <c r="N51" s="531"/>
      <c r="O51" s="539"/>
      <c r="P51" s="198">
        <v>0.2</v>
      </c>
      <c r="Q51" s="199"/>
      <c r="R51" s="150" t="s">
        <v>334</v>
      </c>
      <c r="S51" s="576"/>
      <c r="T51" s="107"/>
      <c r="U51" s="107"/>
      <c r="V51" s="107"/>
      <c r="W51" s="107"/>
      <c r="X51" s="107"/>
      <c r="Y51" s="107"/>
      <c r="Z51" s="107"/>
    </row>
    <row r="52" spans="1:26" ht="15.75" customHeight="1">
      <c r="A52" s="107"/>
      <c r="B52" s="534"/>
      <c r="C52" s="531"/>
      <c r="D52" s="531"/>
      <c r="E52" s="531"/>
      <c r="F52" s="531"/>
      <c r="G52" s="539"/>
      <c r="H52" s="210" t="s">
        <v>381</v>
      </c>
      <c r="I52" s="164">
        <v>0</v>
      </c>
      <c r="J52" s="165">
        <v>1</v>
      </c>
      <c r="K52" s="164">
        <v>1</v>
      </c>
      <c r="L52" s="165">
        <v>1</v>
      </c>
      <c r="M52" s="582"/>
      <c r="N52" s="531"/>
      <c r="O52" s="539"/>
      <c r="P52" s="198">
        <v>0.2</v>
      </c>
      <c r="Q52" s="199"/>
      <c r="R52" s="153" t="s">
        <v>345</v>
      </c>
      <c r="S52" s="576"/>
      <c r="T52" s="107"/>
      <c r="U52" s="107"/>
      <c r="V52" s="107"/>
      <c r="W52" s="107"/>
      <c r="X52" s="107"/>
      <c r="Y52" s="107"/>
      <c r="Z52" s="107"/>
    </row>
    <row r="53" spans="1:26" ht="15.75" customHeight="1">
      <c r="A53" s="107" t="s">
        <v>335</v>
      </c>
      <c r="B53" s="534"/>
      <c r="C53" s="531"/>
      <c r="D53" s="531"/>
      <c r="E53" s="531"/>
      <c r="F53" s="531"/>
      <c r="G53" s="539"/>
      <c r="H53" s="210" t="s">
        <v>382</v>
      </c>
      <c r="I53" s="164">
        <v>1</v>
      </c>
      <c r="J53" s="165">
        <v>1</v>
      </c>
      <c r="K53" s="164">
        <v>1</v>
      </c>
      <c r="L53" s="165">
        <v>1</v>
      </c>
      <c r="M53" s="582"/>
      <c r="N53" s="531"/>
      <c r="O53" s="539"/>
      <c r="P53" s="198">
        <v>0.2</v>
      </c>
      <c r="Q53" s="199"/>
      <c r="R53" s="139"/>
      <c r="S53" s="576"/>
      <c r="T53" s="107"/>
      <c r="U53" s="107"/>
      <c r="V53" s="107"/>
      <c r="W53" s="107"/>
      <c r="X53" s="107"/>
      <c r="Y53" s="107"/>
      <c r="Z53" s="107"/>
    </row>
    <row r="54" spans="1:26" ht="15.75" customHeight="1">
      <c r="A54" s="107"/>
      <c r="B54" s="534"/>
      <c r="C54" s="531"/>
      <c r="D54" s="531"/>
      <c r="E54" s="531"/>
      <c r="F54" s="531"/>
      <c r="G54" s="539"/>
      <c r="H54" s="211" t="s">
        <v>327</v>
      </c>
      <c r="I54" s="164">
        <v>1</v>
      </c>
      <c r="J54" s="165">
        <v>1</v>
      </c>
      <c r="K54" s="164">
        <v>1</v>
      </c>
      <c r="L54" s="165">
        <v>1</v>
      </c>
      <c r="M54" s="582"/>
      <c r="N54" s="531"/>
      <c r="O54" s="539"/>
      <c r="P54" s="198">
        <v>0.2</v>
      </c>
      <c r="Q54" s="199"/>
      <c r="R54" s="212" t="s">
        <v>383</v>
      </c>
      <c r="S54" s="576"/>
      <c r="T54" s="107"/>
      <c r="U54" s="107"/>
      <c r="V54" s="107"/>
      <c r="W54" s="107"/>
      <c r="X54" s="107"/>
      <c r="Y54" s="107"/>
      <c r="Z54" s="107"/>
    </row>
    <row r="55" spans="1:26" ht="15.75" customHeight="1">
      <c r="A55" s="107"/>
      <c r="B55" s="534"/>
      <c r="C55" s="531"/>
      <c r="D55" s="531"/>
      <c r="E55" s="531"/>
      <c r="F55" s="531"/>
      <c r="G55" s="539"/>
      <c r="H55" s="211" t="s">
        <v>329</v>
      </c>
      <c r="I55" s="164">
        <v>1</v>
      </c>
      <c r="J55" s="165">
        <v>1</v>
      </c>
      <c r="K55" s="164">
        <v>1</v>
      </c>
      <c r="L55" s="165">
        <v>1</v>
      </c>
      <c r="M55" s="582"/>
      <c r="N55" s="531"/>
      <c r="O55" s="539"/>
      <c r="P55" s="198">
        <v>0.2</v>
      </c>
      <c r="Q55" s="199"/>
      <c r="R55" s="154" t="s">
        <v>377</v>
      </c>
      <c r="S55" s="576"/>
      <c r="T55" s="107"/>
      <c r="U55" s="107"/>
      <c r="V55" s="107"/>
      <c r="W55" s="107"/>
      <c r="X55" s="107"/>
      <c r="Y55" s="107"/>
      <c r="Z55" s="107"/>
    </row>
    <row r="56" spans="1:26" ht="15.75" customHeight="1">
      <c r="A56" s="107"/>
      <c r="B56" s="535"/>
      <c r="C56" s="532"/>
      <c r="D56" s="532"/>
      <c r="E56" s="532"/>
      <c r="F56" s="532"/>
      <c r="G56" s="540"/>
      <c r="H56" s="211" t="s">
        <v>384</v>
      </c>
      <c r="I56" s="155">
        <v>1</v>
      </c>
      <c r="J56" s="156">
        <v>1</v>
      </c>
      <c r="K56" s="155">
        <v>1</v>
      </c>
      <c r="L56" s="156">
        <v>1</v>
      </c>
      <c r="M56" s="583"/>
      <c r="N56" s="532"/>
      <c r="O56" s="540"/>
      <c r="P56" s="213">
        <v>0.2</v>
      </c>
      <c r="Q56" s="214"/>
      <c r="R56" s="143"/>
      <c r="S56" s="564"/>
      <c r="T56" s="107"/>
      <c r="U56" s="107"/>
      <c r="V56" s="107"/>
      <c r="W56" s="107"/>
      <c r="X56" s="107"/>
      <c r="Y56" s="107"/>
      <c r="Z56" s="107"/>
    </row>
    <row r="57" spans="1:26" ht="15.75" customHeight="1">
      <c r="A57" s="107"/>
      <c r="B57" s="533" t="s">
        <v>385</v>
      </c>
      <c r="C57" s="530" t="s">
        <v>319</v>
      </c>
      <c r="D57" s="530" t="s">
        <v>61</v>
      </c>
      <c r="E57" s="536">
        <v>233000</v>
      </c>
      <c r="F57" s="543" t="s">
        <v>320</v>
      </c>
      <c r="G57" s="578" t="s">
        <v>320</v>
      </c>
      <c r="H57" s="124" t="s">
        <v>365</v>
      </c>
      <c r="I57" s="125">
        <v>1</v>
      </c>
      <c r="J57" s="126">
        <v>1</v>
      </c>
      <c r="K57" s="125">
        <v>1</v>
      </c>
      <c r="L57" s="126">
        <v>1</v>
      </c>
      <c r="M57" s="572" t="s">
        <v>61</v>
      </c>
      <c r="N57" s="541" t="s">
        <v>386</v>
      </c>
      <c r="O57" s="559"/>
      <c r="P57" s="196">
        <v>0.18</v>
      </c>
      <c r="Q57" s="215"/>
      <c r="R57" s="216" t="s">
        <v>387</v>
      </c>
      <c r="S57" s="107"/>
      <c r="T57" s="107"/>
      <c r="U57" s="107"/>
      <c r="V57" s="107"/>
      <c r="W57" s="107"/>
      <c r="X57" s="107"/>
      <c r="Y57" s="107"/>
      <c r="Z57" s="107"/>
    </row>
    <row r="58" spans="1:26" ht="15.75" customHeight="1">
      <c r="A58" s="107" t="s">
        <v>335</v>
      </c>
      <c r="B58" s="534"/>
      <c r="C58" s="531"/>
      <c r="D58" s="531"/>
      <c r="E58" s="531"/>
      <c r="F58" s="531"/>
      <c r="G58" s="539"/>
      <c r="H58" s="131" t="s">
        <v>106</v>
      </c>
      <c r="I58" s="132">
        <v>1</v>
      </c>
      <c r="J58" s="133">
        <v>1</v>
      </c>
      <c r="K58" s="132">
        <v>1</v>
      </c>
      <c r="L58" s="133">
        <v>1</v>
      </c>
      <c r="M58" s="573"/>
      <c r="N58" s="531"/>
      <c r="O58" s="539"/>
      <c r="P58" s="198">
        <v>0.23</v>
      </c>
      <c r="Q58" s="217"/>
      <c r="R58" s="150" t="s">
        <v>334</v>
      </c>
      <c r="S58" s="107"/>
      <c r="T58" s="107"/>
      <c r="U58" s="107"/>
      <c r="V58" s="107"/>
      <c r="W58" s="107"/>
      <c r="X58" s="107"/>
      <c r="Y58" s="107"/>
      <c r="Z58" s="107"/>
    </row>
    <row r="59" spans="1:26" ht="15.75" customHeight="1">
      <c r="A59" s="107"/>
      <c r="B59" s="534"/>
      <c r="C59" s="531"/>
      <c r="D59" s="531"/>
      <c r="E59" s="531"/>
      <c r="F59" s="531"/>
      <c r="G59" s="539"/>
      <c r="H59" s="131" t="s">
        <v>109</v>
      </c>
      <c r="I59" s="132">
        <v>1</v>
      </c>
      <c r="J59" s="133">
        <v>1</v>
      </c>
      <c r="K59" s="132">
        <v>1</v>
      </c>
      <c r="L59" s="133">
        <v>1</v>
      </c>
      <c r="M59" s="573"/>
      <c r="N59" s="531"/>
      <c r="O59" s="539"/>
      <c r="P59" s="198">
        <v>0.23</v>
      </c>
      <c r="Q59" s="217"/>
      <c r="R59" s="218" t="s">
        <v>345</v>
      </c>
      <c r="S59" s="107"/>
      <c r="T59" s="107"/>
      <c r="U59" s="107"/>
      <c r="V59" s="107"/>
      <c r="W59" s="107"/>
      <c r="X59" s="107"/>
      <c r="Y59" s="107"/>
      <c r="Z59" s="107"/>
    </row>
    <row r="60" spans="1:26" ht="15.75" customHeight="1">
      <c r="A60" s="107"/>
      <c r="B60" s="534"/>
      <c r="C60" s="531"/>
      <c r="D60" s="531"/>
      <c r="E60" s="531"/>
      <c r="F60" s="531"/>
      <c r="G60" s="539"/>
      <c r="H60" s="131" t="s">
        <v>104</v>
      </c>
      <c r="I60" s="132">
        <v>1</v>
      </c>
      <c r="J60" s="133">
        <v>1</v>
      </c>
      <c r="K60" s="132">
        <v>1</v>
      </c>
      <c r="L60" s="133">
        <v>1</v>
      </c>
      <c r="M60" s="573"/>
      <c r="N60" s="531"/>
      <c r="O60" s="539"/>
      <c r="P60" s="198">
        <v>0.23</v>
      </c>
      <c r="Q60" s="217"/>
      <c r="R60" s="207"/>
      <c r="S60" s="107"/>
      <c r="T60" s="107"/>
      <c r="U60" s="107"/>
      <c r="V60" s="107"/>
      <c r="W60" s="107"/>
      <c r="X60" s="107"/>
      <c r="Y60" s="107"/>
      <c r="Z60" s="107"/>
    </row>
    <row r="61" spans="1:26" ht="15.75" customHeight="1">
      <c r="A61" s="107"/>
      <c r="B61" s="535"/>
      <c r="C61" s="532"/>
      <c r="D61" s="532"/>
      <c r="E61" s="532"/>
      <c r="F61" s="532"/>
      <c r="G61" s="540"/>
      <c r="H61" s="143" t="s">
        <v>388</v>
      </c>
      <c r="I61" s="202">
        <v>1</v>
      </c>
      <c r="J61" s="203">
        <v>1</v>
      </c>
      <c r="K61" s="202">
        <v>1</v>
      </c>
      <c r="L61" s="203">
        <v>1</v>
      </c>
      <c r="M61" s="574"/>
      <c r="N61" s="532"/>
      <c r="O61" s="540"/>
      <c r="P61" s="219">
        <v>0.23</v>
      </c>
      <c r="Q61" s="220"/>
      <c r="R61" s="206"/>
      <c r="S61" s="107"/>
      <c r="T61" s="107"/>
      <c r="U61" s="107"/>
      <c r="V61" s="107"/>
      <c r="W61" s="107"/>
      <c r="X61" s="107"/>
      <c r="Y61" s="107"/>
      <c r="Z61" s="107"/>
    </row>
    <row r="62" spans="1:26" ht="15.75" customHeight="1">
      <c r="A62" s="107"/>
      <c r="B62" s="591" t="s">
        <v>389</v>
      </c>
      <c r="C62" s="550" t="s">
        <v>319</v>
      </c>
      <c r="D62" s="550" t="s">
        <v>61</v>
      </c>
      <c r="E62" s="592">
        <v>229000</v>
      </c>
      <c r="F62" s="552" t="s">
        <v>320</v>
      </c>
      <c r="G62" s="593">
        <v>7.4999999999999997E-2</v>
      </c>
      <c r="H62" s="131" t="s">
        <v>365</v>
      </c>
      <c r="I62" s="132">
        <v>1</v>
      </c>
      <c r="J62" s="133">
        <v>1</v>
      </c>
      <c r="K62" s="132">
        <v>1</v>
      </c>
      <c r="L62" s="133">
        <v>1</v>
      </c>
      <c r="M62" s="604" t="s">
        <v>61</v>
      </c>
      <c r="N62" s="570" t="s">
        <v>390</v>
      </c>
      <c r="O62" s="222"/>
      <c r="P62" s="198">
        <v>0.15</v>
      </c>
      <c r="Q62" s="184"/>
      <c r="R62" s="149" t="s">
        <v>391</v>
      </c>
      <c r="S62" s="575" t="s">
        <v>1</v>
      </c>
      <c r="T62" s="107"/>
      <c r="U62" s="107"/>
      <c r="V62" s="107"/>
      <c r="W62" s="107"/>
      <c r="X62" s="107"/>
      <c r="Y62" s="107"/>
      <c r="Z62" s="107"/>
    </row>
    <row r="63" spans="1:26" ht="15.75" customHeight="1">
      <c r="A63" s="107"/>
      <c r="B63" s="534"/>
      <c r="C63" s="531"/>
      <c r="D63" s="531"/>
      <c r="E63" s="531"/>
      <c r="F63" s="531"/>
      <c r="G63" s="555"/>
      <c r="H63" s="131" t="s">
        <v>329</v>
      </c>
      <c r="I63" s="132">
        <v>1</v>
      </c>
      <c r="J63" s="133">
        <v>1</v>
      </c>
      <c r="K63" s="132">
        <v>1</v>
      </c>
      <c r="L63" s="133">
        <v>1</v>
      </c>
      <c r="M63" s="534"/>
      <c r="N63" s="531"/>
      <c r="O63" s="223"/>
      <c r="P63" s="198">
        <v>0.15</v>
      </c>
      <c r="Q63" s="184"/>
      <c r="R63" s="151" t="s">
        <v>392</v>
      </c>
      <c r="S63" s="576"/>
      <c r="T63" s="107"/>
      <c r="U63" s="107"/>
      <c r="V63" s="107"/>
      <c r="W63" s="107"/>
      <c r="X63" s="107"/>
      <c r="Y63" s="107"/>
      <c r="Z63" s="107"/>
    </row>
    <row r="64" spans="1:26" ht="15.75" customHeight="1">
      <c r="A64" s="107"/>
      <c r="B64" s="534"/>
      <c r="C64" s="531"/>
      <c r="D64" s="531"/>
      <c r="E64" s="531"/>
      <c r="F64" s="531"/>
      <c r="G64" s="555"/>
      <c r="H64" s="131" t="s">
        <v>393</v>
      </c>
      <c r="I64" s="224"/>
      <c r="J64" s="225"/>
      <c r="K64" s="224"/>
      <c r="L64" s="225"/>
      <c r="M64" s="534"/>
      <c r="N64" s="531"/>
      <c r="O64" s="223"/>
      <c r="P64" s="226"/>
      <c r="Q64" s="184"/>
      <c r="R64" s="151" t="s">
        <v>394</v>
      </c>
      <c r="S64" s="576"/>
      <c r="T64" s="107"/>
      <c r="U64" s="107"/>
      <c r="V64" s="107"/>
      <c r="W64" s="107"/>
      <c r="X64" s="107"/>
      <c r="Y64" s="107"/>
      <c r="Z64" s="107"/>
    </row>
    <row r="65" spans="1:26" ht="15.75" customHeight="1">
      <c r="A65" s="107" t="s">
        <v>335</v>
      </c>
      <c r="B65" s="534"/>
      <c r="C65" s="531"/>
      <c r="D65" s="531"/>
      <c r="E65" s="531"/>
      <c r="F65" s="531"/>
      <c r="G65" s="555"/>
      <c r="H65" s="131"/>
      <c r="I65" s="224"/>
      <c r="J65" s="225"/>
      <c r="K65" s="224"/>
      <c r="L65" s="225"/>
      <c r="M65" s="534"/>
      <c r="N65" s="531"/>
      <c r="O65" s="223"/>
      <c r="P65" s="226"/>
      <c r="Q65" s="184"/>
      <c r="R65" s="151" t="s">
        <v>395</v>
      </c>
      <c r="S65" s="576"/>
      <c r="T65" s="107"/>
      <c r="U65" s="107"/>
      <c r="V65" s="107"/>
      <c r="W65" s="107"/>
      <c r="X65" s="107"/>
      <c r="Y65" s="107"/>
      <c r="Z65" s="107"/>
    </row>
    <row r="66" spans="1:26" ht="15.75" customHeight="1">
      <c r="A66" s="107"/>
      <c r="B66" s="534"/>
      <c r="C66" s="531"/>
      <c r="D66" s="531"/>
      <c r="E66" s="531"/>
      <c r="F66" s="531"/>
      <c r="G66" s="555"/>
      <c r="H66" s="131"/>
      <c r="I66" s="224"/>
      <c r="J66" s="225"/>
      <c r="K66" s="224"/>
      <c r="L66" s="225"/>
      <c r="M66" s="534"/>
      <c r="N66" s="531"/>
      <c r="O66" s="223"/>
      <c r="P66" s="226"/>
      <c r="Q66" s="184"/>
      <c r="R66" s="154" t="s">
        <v>396</v>
      </c>
      <c r="S66" s="576"/>
      <c r="T66" s="107"/>
      <c r="U66" s="107"/>
      <c r="V66" s="107"/>
      <c r="W66" s="107"/>
      <c r="X66" s="107"/>
      <c r="Y66" s="107"/>
      <c r="Z66" s="107"/>
    </row>
    <row r="67" spans="1:26" ht="15.75" customHeight="1">
      <c r="A67" s="107"/>
      <c r="B67" s="534"/>
      <c r="C67" s="531"/>
      <c r="D67" s="531"/>
      <c r="E67" s="531"/>
      <c r="F67" s="531"/>
      <c r="G67" s="555"/>
      <c r="H67" s="131"/>
      <c r="I67" s="224"/>
      <c r="J67" s="225"/>
      <c r="K67" s="224"/>
      <c r="L67" s="225"/>
      <c r="M67" s="534"/>
      <c r="N67" s="531"/>
      <c r="O67" s="223"/>
      <c r="P67" s="226"/>
      <c r="Q67" s="184"/>
      <c r="R67" s="227" t="s">
        <v>397</v>
      </c>
      <c r="S67" s="576"/>
      <c r="T67" s="107"/>
      <c r="U67" s="107"/>
      <c r="V67" s="107"/>
      <c r="W67" s="107"/>
      <c r="X67" s="107"/>
      <c r="Y67" s="107"/>
      <c r="Z67" s="107"/>
    </row>
    <row r="68" spans="1:26" ht="15.75" customHeight="1">
      <c r="A68" s="107"/>
      <c r="B68" s="534"/>
      <c r="C68" s="531"/>
      <c r="D68" s="531"/>
      <c r="E68" s="531"/>
      <c r="F68" s="531"/>
      <c r="G68" s="555"/>
      <c r="H68" s="131"/>
      <c r="I68" s="224"/>
      <c r="J68" s="225"/>
      <c r="K68" s="224"/>
      <c r="L68" s="225"/>
      <c r="M68" s="534"/>
      <c r="N68" s="531"/>
      <c r="O68" s="223"/>
      <c r="P68" s="226"/>
      <c r="Q68" s="184"/>
      <c r="R68" s="227" t="s">
        <v>398</v>
      </c>
      <c r="S68" s="576"/>
      <c r="T68" s="107"/>
      <c r="U68" s="107"/>
      <c r="V68" s="107"/>
      <c r="W68" s="107"/>
      <c r="X68" s="107"/>
      <c r="Y68" s="107"/>
      <c r="Z68" s="107"/>
    </row>
    <row r="69" spans="1:26" ht="15.75" customHeight="1">
      <c r="A69" s="107"/>
      <c r="B69" s="534"/>
      <c r="C69" s="531"/>
      <c r="D69" s="531"/>
      <c r="E69" s="531"/>
      <c r="F69" s="531"/>
      <c r="G69" s="555"/>
      <c r="H69" s="131"/>
      <c r="I69" s="224"/>
      <c r="J69" s="225"/>
      <c r="K69" s="224"/>
      <c r="L69" s="225"/>
      <c r="M69" s="534"/>
      <c r="N69" s="531"/>
      <c r="O69" s="223"/>
      <c r="P69" s="226"/>
      <c r="Q69" s="184"/>
      <c r="R69" s="227" t="s">
        <v>399</v>
      </c>
      <c r="S69" s="576"/>
      <c r="T69" s="107"/>
      <c r="U69" s="107"/>
      <c r="V69" s="107"/>
      <c r="W69" s="107"/>
      <c r="X69" s="107"/>
      <c r="Y69" s="107"/>
      <c r="Z69" s="107"/>
    </row>
    <row r="70" spans="1:26" ht="15.75" customHeight="1">
      <c r="A70" s="107"/>
      <c r="B70" s="535"/>
      <c r="C70" s="532"/>
      <c r="D70" s="532"/>
      <c r="E70" s="532"/>
      <c r="F70" s="532"/>
      <c r="G70" s="556"/>
      <c r="H70" s="131"/>
      <c r="I70" s="185"/>
      <c r="J70" s="186"/>
      <c r="K70" s="185"/>
      <c r="L70" s="186"/>
      <c r="M70" s="535"/>
      <c r="N70" s="532"/>
      <c r="O70" s="228"/>
      <c r="P70" s="229"/>
      <c r="Q70" s="230"/>
      <c r="R70" s="227" t="s">
        <v>400</v>
      </c>
      <c r="S70" s="564"/>
      <c r="T70" s="107"/>
      <c r="U70" s="107"/>
      <c r="V70" s="107"/>
      <c r="W70" s="107"/>
      <c r="X70" s="107"/>
      <c r="Y70" s="107"/>
      <c r="Z70" s="107"/>
    </row>
    <row r="71" spans="1:26" ht="15.75" customHeight="1">
      <c r="A71" s="107"/>
      <c r="B71" s="549" t="s">
        <v>401</v>
      </c>
      <c r="C71" s="530" t="s">
        <v>319</v>
      </c>
      <c r="D71" s="530" t="s">
        <v>61</v>
      </c>
      <c r="E71" s="542">
        <v>250000</v>
      </c>
      <c r="F71" s="546" t="s">
        <v>320</v>
      </c>
      <c r="G71" s="594" t="s">
        <v>320</v>
      </c>
      <c r="H71" s="124" t="s">
        <v>104</v>
      </c>
      <c r="I71" s="132">
        <v>1</v>
      </c>
      <c r="J71" s="133">
        <v>1</v>
      </c>
      <c r="K71" s="132">
        <v>1</v>
      </c>
      <c r="L71" s="133">
        <v>1</v>
      </c>
      <c r="M71" s="569" t="s">
        <v>61</v>
      </c>
      <c r="N71" s="570" t="s">
        <v>402</v>
      </c>
      <c r="O71" s="134"/>
      <c r="P71" s="198">
        <v>0.14000000000000001</v>
      </c>
      <c r="Q71" s="199"/>
      <c r="R71" s="149" t="s">
        <v>391</v>
      </c>
      <c r="S71" s="107"/>
      <c r="T71" s="107"/>
      <c r="U71" s="107"/>
      <c r="V71" s="107"/>
      <c r="W71" s="107"/>
      <c r="X71" s="107"/>
      <c r="Y71" s="107"/>
      <c r="Z71" s="107"/>
    </row>
    <row r="72" spans="1:26" ht="15.75" customHeight="1">
      <c r="A72" s="107"/>
      <c r="B72" s="534"/>
      <c r="C72" s="531"/>
      <c r="D72" s="531"/>
      <c r="E72" s="531"/>
      <c r="F72" s="531"/>
      <c r="G72" s="555"/>
      <c r="H72" s="180" t="s">
        <v>403</v>
      </c>
      <c r="I72" s="132">
        <v>1</v>
      </c>
      <c r="J72" s="133">
        <v>1</v>
      </c>
      <c r="K72" s="132">
        <v>1</v>
      </c>
      <c r="L72" s="133">
        <v>1</v>
      </c>
      <c r="M72" s="534"/>
      <c r="N72" s="531"/>
      <c r="O72" s="144"/>
      <c r="P72" s="198">
        <v>0.14000000000000001</v>
      </c>
      <c r="Q72" s="199"/>
      <c r="R72" s="139"/>
      <c r="S72" s="107"/>
      <c r="T72" s="107"/>
      <c r="U72" s="107"/>
      <c r="V72" s="107"/>
      <c r="W72" s="107"/>
      <c r="X72" s="107"/>
      <c r="Y72" s="107"/>
      <c r="Z72" s="107"/>
    </row>
    <row r="73" spans="1:26" ht="15.75" customHeight="1">
      <c r="A73" s="107"/>
      <c r="B73" s="534"/>
      <c r="C73" s="531"/>
      <c r="D73" s="531"/>
      <c r="E73" s="531"/>
      <c r="F73" s="531"/>
      <c r="G73" s="555"/>
      <c r="H73" s="131" t="s">
        <v>109</v>
      </c>
      <c r="I73" s="132">
        <v>1</v>
      </c>
      <c r="J73" s="133">
        <v>1</v>
      </c>
      <c r="K73" s="132">
        <v>1</v>
      </c>
      <c r="L73" s="133">
        <v>1</v>
      </c>
      <c r="M73" s="534"/>
      <c r="N73" s="531"/>
      <c r="O73" s="144"/>
      <c r="P73" s="198">
        <v>0.14000000000000001</v>
      </c>
      <c r="Q73" s="199"/>
      <c r="R73" s="150" t="s">
        <v>334</v>
      </c>
      <c r="S73" s="107"/>
      <c r="T73" s="107"/>
      <c r="U73" s="107"/>
      <c r="V73" s="107"/>
      <c r="W73" s="107"/>
      <c r="X73" s="107"/>
      <c r="Y73" s="107"/>
      <c r="Z73" s="107"/>
    </row>
    <row r="74" spans="1:26" ht="15.75" customHeight="1">
      <c r="A74" s="107" t="s">
        <v>335</v>
      </c>
      <c r="B74" s="534"/>
      <c r="C74" s="531"/>
      <c r="D74" s="531"/>
      <c r="E74" s="531"/>
      <c r="F74" s="531"/>
      <c r="G74" s="555"/>
      <c r="H74" s="131" t="s">
        <v>388</v>
      </c>
      <c r="I74" s="132">
        <v>1</v>
      </c>
      <c r="J74" s="133">
        <v>1</v>
      </c>
      <c r="K74" s="132">
        <v>1</v>
      </c>
      <c r="L74" s="133">
        <v>1</v>
      </c>
      <c r="M74" s="534"/>
      <c r="N74" s="531"/>
      <c r="O74" s="144"/>
      <c r="P74" s="198">
        <v>0.14000000000000001</v>
      </c>
      <c r="Q74" s="199"/>
      <c r="R74" s="139"/>
      <c r="S74" s="107"/>
      <c r="T74" s="107"/>
      <c r="U74" s="107"/>
      <c r="V74" s="107"/>
      <c r="W74" s="107"/>
      <c r="X74" s="107"/>
      <c r="Y74" s="107"/>
      <c r="Z74" s="107"/>
    </row>
    <row r="75" spans="1:26" ht="15.75" customHeight="1">
      <c r="A75" s="107"/>
      <c r="B75" s="534"/>
      <c r="C75" s="531"/>
      <c r="D75" s="531"/>
      <c r="E75" s="531"/>
      <c r="F75" s="531"/>
      <c r="G75" s="555"/>
      <c r="H75" s="131" t="s">
        <v>404</v>
      </c>
      <c r="I75" s="132">
        <v>1</v>
      </c>
      <c r="J75" s="133">
        <v>1</v>
      </c>
      <c r="K75" s="132">
        <v>1</v>
      </c>
      <c r="L75" s="133">
        <v>1</v>
      </c>
      <c r="M75" s="534"/>
      <c r="N75" s="531"/>
      <c r="O75" s="144"/>
      <c r="P75" s="198">
        <v>0.14000000000000001</v>
      </c>
      <c r="Q75" s="199"/>
      <c r="R75" s="153" t="s">
        <v>337</v>
      </c>
      <c r="S75" s="107"/>
      <c r="T75" s="107"/>
      <c r="U75" s="107"/>
      <c r="V75" s="107"/>
      <c r="W75" s="107"/>
      <c r="X75" s="107"/>
      <c r="Y75" s="107"/>
      <c r="Z75" s="107"/>
    </row>
    <row r="76" spans="1:26" ht="15.75" customHeight="1">
      <c r="A76" s="107"/>
      <c r="B76" s="534"/>
      <c r="C76" s="531"/>
      <c r="D76" s="531"/>
      <c r="E76" s="531"/>
      <c r="F76" s="531"/>
      <c r="G76" s="555"/>
      <c r="H76" s="131" t="s">
        <v>405</v>
      </c>
      <c r="I76" s="132">
        <v>1</v>
      </c>
      <c r="J76" s="133">
        <v>1</v>
      </c>
      <c r="K76" s="132">
        <v>1</v>
      </c>
      <c r="L76" s="133">
        <v>1</v>
      </c>
      <c r="M76" s="534"/>
      <c r="N76" s="531"/>
      <c r="O76" s="144"/>
      <c r="P76" s="198">
        <v>0.14000000000000001</v>
      </c>
      <c r="Q76" s="199"/>
      <c r="R76" s="610"/>
      <c r="S76" s="107"/>
      <c r="T76" s="107"/>
      <c r="U76" s="107"/>
      <c r="V76" s="107"/>
      <c r="W76" s="107"/>
      <c r="X76" s="107"/>
      <c r="Y76" s="107"/>
      <c r="Z76" s="107"/>
    </row>
    <row r="77" spans="1:26" ht="15.75" customHeight="1">
      <c r="A77" s="107"/>
      <c r="B77" s="535"/>
      <c r="C77" s="532"/>
      <c r="D77" s="532"/>
      <c r="E77" s="532"/>
      <c r="F77" s="532"/>
      <c r="G77" s="556"/>
      <c r="H77" s="131" t="s">
        <v>406</v>
      </c>
      <c r="I77" s="132">
        <v>1</v>
      </c>
      <c r="J77" s="133">
        <v>1</v>
      </c>
      <c r="K77" s="132">
        <v>1</v>
      </c>
      <c r="L77" s="133">
        <v>1</v>
      </c>
      <c r="M77" s="535"/>
      <c r="N77" s="532"/>
      <c r="O77" s="134"/>
      <c r="P77" s="198">
        <v>0.14000000000000001</v>
      </c>
      <c r="Q77" s="199"/>
      <c r="R77" s="564"/>
      <c r="S77" s="107"/>
      <c r="T77" s="107"/>
      <c r="U77" s="107"/>
      <c r="V77" s="107"/>
      <c r="W77" s="107"/>
      <c r="X77" s="107"/>
      <c r="Y77" s="107"/>
      <c r="Z77" s="107"/>
    </row>
    <row r="78" spans="1:26" ht="15.75" customHeight="1">
      <c r="A78" s="107"/>
      <c r="B78" s="568" t="s">
        <v>407</v>
      </c>
      <c r="C78" s="541" t="s">
        <v>331</v>
      </c>
      <c r="D78" s="530" t="s">
        <v>61</v>
      </c>
      <c r="E78" s="542">
        <v>209000</v>
      </c>
      <c r="F78" s="589" t="s">
        <v>320</v>
      </c>
      <c r="G78" s="590">
        <v>0.02</v>
      </c>
      <c r="H78" s="124" t="s">
        <v>321</v>
      </c>
      <c r="I78" s="125">
        <v>0</v>
      </c>
      <c r="J78" s="126">
        <v>0</v>
      </c>
      <c r="K78" s="125">
        <v>0</v>
      </c>
      <c r="L78" s="126">
        <v>0</v>
      </c>
      <c r="M78" s="603" t="s">
        <v>61</v>
      </c>
      <c r="N78" s="570" t="s">
        <v>408</v>
      </c>
      <c r="O78" s="127"/>
      <c r="P78" s="190">
        <v>0.15</v>
      </c>
      <c r="Q78" s="191"/>
      <c r="R78" s="149" t="s">
        <v>409</v>
      </c>
      <c r="S78" s="107"/>
      <c r="T78" s="107"/>
      <c r="U78" s="107"/>
      <c r="V78" s="107"/>
      <c r="W78" s="107"/>
      <c r="X78" s="107"/>
      <c r="Y78" s="107"/>
      <c r="Z78" s="107"/>
    </row>
    <row r="79" spans="1:26" ht="15.75" customHeight="1">
      <c r="A79" s="107"/>
      <c r="B79" s="534"/>
      <c r="C79" s="531"/>
      <c r="D79" s="531"/>
      <c r="E79" s="531"/>
      <c r="F79" s="531"/>
      <c r="G79" s="539"/>
      <c r="H79" s="131" t="s">
        <v>324</v>
      </c>
      <c r="I79" s="132">
        <v>0</v>
      </c>
      <c r="J79" s="133">
        <v>0</v>
      </c>
      <c r="K79" s="132">
        <v>0</v>
      </c>
      <c r="L79" s="133">
        <v>0</v>
      </c>
      <c r="M79" s="534"/>
      <c r="N79" s="531"/>
      <c r="O79" s="134"/>
      <c r="P79" s="190">
        <v>0.15</v>
      </c>
      <c r="Q79" s="148"/>
      <c r="R79" s="151" t="s">
        <v>410</v>
      </c>
      <c r="S79" s="107"/>
      <c r="T79" s="107"/>
      <c r="U79" s="107"/>
      <c r="V79" s="107"/>
      <c r="W79" s="107"/>
      <c r="X79" s="107"/>
      <c r="Y79" s="107"/>
      <c r="Z79" s="107"/>
    </row>
    <row r="80" spans="1:26" ht="15.75" customHeight="1">
      <c r="A80" s="107" t="s">
        <v>335</v>
      </c>
      <c r="B80" s="534"/>
      <c r="C80" s="531"/>
      <c r="D80" s="531"/>
      <c r="E80" s="531"/>
      <c r="F80" s="531"/>
      <c r="G80" s="539"/>
      <c r="H80" s="131" t="s">
        <v>357</v>
      </c>
      <c r="I80" s="132">
        <v>0</v>
      </c>
      <c r="J80" s="133">
        <v>0</v>
      </c>
      <c r="K80" s="132">
        <v>0</v>
      </c>
      <c r="L80" s="133">
        <v>0</v>
      </c>
      <c r="M80" s="534"/>
      <c r="N80" s="531"/>
      <c r="O80" s="144"/>
      <c r="P80" s="190">
        <v>0.15</v>
      </c>
      <c r="Q80" s="148"/>
      <c r="R80" s="150" t="s">
        <v>334</v>
      </c>
      <c r="S80" s="107"/>
      <c r="T80" s="107"/>
      <c r="U80" s="107"/>
      <c r="V80" s="107"/>
      <c r="W80" s="107"/>
      <c r="X80" s="107"/>
      <c r="Y80" s="107"/>
      <c r="Z80" s="107"/>
    </row>
    <row r="81" spans="1:26" ht="15.75" customHeight="1">
      <c r="A81" s="107"/>
      <c r="B81" s="534"/>
      <c r="C81" s="531"/>
      <c r="D81" s="531"/>
      <c r="E81" s="531"/>
      <c r="F81" s="531"/>
      <c r="G81" s="539"/>
      <c r="H81" s="131" t="s">
        <v>411</v>
      </c>
      <c r="I81" s="132">
        <v>0</v>
      </c>
      <c r="J81" s="133">
        <v>0</v>
      </c>
      <c r="K81" s="132">
        <v>0</v>
      </c>
      <c r="L81" s="133">
        <v>0</v>
      </c>
      <c r="M81" s="534"/>
      <c r="N81" s="531"/>
      <c r="O81" s="144"/>
      <c r="P81" s="190">
        <v>0.15</v>
      </c>
      <c r="Q81" s="148"/>
      <c r="R81" s="154" t="s">
        <v>412</v>
      </c>
      <c r="S81" s="107"/>
      <c r="T81" s="107"/>
      <c r="U81" s="107"/>
      <c r="V81" s="107"/>
      <c r="W81" s="107"/>
      <c r="X81" s="107"/>
      <c r="Y81" s="107"/>
      <c r="Z81" s="107"/>
    </row>
    <row r="82" spans="1:26" ht="15.75" customHeight="1">
      <c r="A82" s="107"/>
      <c r="B82" s="534"/>
      <c r="C82" s="531"/>
      <c r="D82" s="531"/>
      <c r="E82" s="531"/>
      <c r="F82" s="531"/>
      <c r="G82" s="539"/>
      <c r="H82" s="131" t="s">
        <v>360</v>
      </c>
      <c r="I82" s="132">
        <v>0</v>
      </c>
      <c r="J82" s="133">
        <v>0</v>
      </c>
      <c r="K82" s="132">
        <v>0</v>
      </c>
      <c r="L82" s="133">
        <v>0</v>
      </c>
      <c r="M82" s="534"/>
      <c r="N82" s="531"/>
      <c r="O82" s="134"/>
      <c r="P82" s="190">
        <v>0.15</v>
      </c>
      <c r="Q82" s="148"/>
      <c r="R82" s="563" t="s">
        <v>413</v>
      </c>
      <c r="S82" s="107"/>
      <c r="T82" s="107"/>
      <c r="U82" s="107"/>
      <c r="V82" s="107"/>
      <c r="W82" s="107"/>
      <c r="X82" s="107"/>
      <c r="Y82" s="107"/>
      <c r="Z82" s="107"/>
    </row>
    <row r="83" spans="1:26" ht="15.75" customHeight="1">
      <c r="A83" s="107"/>
      <c r="B83" s="535"/>
      <c r="C83" s="532"/>
      <c r="D83" s="532"/>
      <c r="E83" s="532"/>
      <c r="F83" s="532"/>
      <c r="G83" s="540"/>
      <c r="H83" s="143" t="s">
        <v>361</v>
      </c>
      <c r="I83" s="202">
        <v>1</v>
      </c>
      <c r="J83" s="203">
        <v>1</v>
      </c>
      <c r="K83" s="202">
        <v>1</v>
      </c>
      <c r="L83" s="203">
        <v>1</v>
      </c>
      <c r="M83" s="535"/>
      <c r="N83" s="532"/>
      <c r="O83" s="194"/>
      <c r="P83" s="190">
        <v>0.15</v>
      </c>
      <c r="Q83" s="148"/>
      <c r="R83" s="564"/>
      <c r="S83" s="107"/>
      <c r="T83" s="107"/>
      <c r="U83" s="107"/>
      <c r="V83" s="107"/>
      <c r="W83" s="107"/>
      <c r="X83" s="107"/>
      <c r="Y83" s="107"/>
      <c r="Z83" s="107"/>
    </row>
    <row r="84" spans="1:26" ht="15.75" customHeight="1">
      <c r="A84" s="107"/>
      <c r="B84" s="568" t="s">
        <v>414</v>
      </c>
      <c r="C84" s="530" t="s">
        <v>319</v>
      </c>
      <c r="D84" s="541" t="s">
        <v>61</v>
      </c>
      <c r="E84" s="542">
        <v>200000</v>
      </c>
      <c r="F84" s="589" t="s">
        <v>320</v>
      </c>
      <c r="G84" s="595">
        <v>0.02</v>
      </c>
      <c r="H84" s="124" t="s">
        <v>321</v>
      </c>
      <c r="I84" s="125">
        <v>0</v>
      </c>
      <c r="J84" s="126">
        <v>0</v>
      </c>
      <c r="K84" s="125">
        <v>0</v>
      </c>
      <c r="L84" s="126">
        <v>0</v>
      </c>
      <c r="M84" s="603" t="s">
        <v>61</v>
      </c>
      <c r="N84" s="613" t="s">
        <v>415</v>
      </c>
      <c r="O84" s="127"/>
      <c r="P84" s="196">
        <v>0.15</v>
      </c>
      <c r="Q84" s="231">
        <v>1.3599999999999999E-2</v>
      </c>
      <c r="R84" s="216" t="s">
        <v>416</v>
      </c>
      <c r="S84" s="107"/>
      <c r="T84" s="107"/>
      <c r="U84" s="107"/>
      <c r="V84" s="107"/>
      <c r="W84" s="107"/>
      <c r="X84" s="107"/>
      <c r="Y84" s="107"/>
      <c r="Z84" s="107"/>
    </row>
    <row r="85" spans="1:26" ht="15.75" customHeight="1">
      <c r="A85" s="107"/>
      <c r="B85" s="534"/>
      <c r="C85" s="531"/>
      <c r="D85" s="531"/>
      <c r="E85" s="531"/>
      <c r="F85" s="531"/>
      <c r="G85" s="555"/>
      <c r="H85" s="131" t="s">
        <v>324</v>
      </c>
      <c r="I85" s="132">
        <v>0</v>
      </c>
      <c r="J85" s="133">
        <v>1</v>
      </c>
      <c r="K85" s="132">
        <v>1</v>
      </c>
      <c r="L85" s="133">
        <v>1</v>
      </c>
      <c r="M85" s="534"/>
      <c r="N85" s="531"/>
      <c r="O85" s="134"/>
      <c r="P85" s="232">
        <v>0.15</v>
      </c>
      <c r="Q85" s="233">
        <v>1.3599999999999999E-2</v>
      </c>
      <c r="R85" s="151" t="s">
        <v>417</v>
      </c>
      <c r="S85" s="107"/>
      <c r="T85" s="107"/>
      <c r="U85" s="107"/>
      <c r="V85" s="107"/>
      <c r="W85" s="107"/>
      <c r="X85" s="107"/>
      <c r="Y85" s="107"/>
      <c r="Z85" s="107"/>
    </row>
    <row r="86" spans="1:26" ht="15.75" customHeight="1">
      <c r="A86" s="107" t="s">
        <v>335</v>
      </c>
      <c r="B86" s="534"/>
      <c r="C86" s="531"/>
      <c r="D86" s="531"/>
      <c r="E86" s="531"/>
      <c r="F86" s="531"/>
      <c r="G86" s="555"/>
      <c r="H86" s="131" t="s">
        <v>418</v>
      </c>
      <c r="I86" s="132">
        <v>1</v>
      </c>
      <c r="J86" s="133">
        <v>1</v>
      </c>
      <c r="K86" s="132">
        <v>1</v>
      </c>
      <c r="L86" s="133">
        <v>1</v>
      </c>
      <c r="M86" s="534"/>
      <c r="N86" s="531"/>
      <c r="O86" s="140">
        <v>46082</v>
      </c>
      <c r="P86" s="232">
        <v>0.15</v>
      </c>
      <c r="Q86" s="233">
        <v>1.3599999999999999E-2</v>
      </c>
      <c r="R86" s="139"/>
      <c r="S86" s="107"/>
      <c r="T86" s="107"/>
      <c r="U86" s="107"/>
      <c r="V86" s="107"/>
      <c r="W86" s="107"/>
      <c r="X86" s="107"/>
      <c r="Y86" s="107"/>
      <c r="Z86" s="107"/>
    </row>
    <row r="87" spans="1:26" ht="15.75" customHeight="1">
      <c r="A87" s="107"/>
      <c r="B87" s="534"/>
      <c r="C87" s="531"/>
      <c r="D87" s="531"/>
      <c r="E87" s="531"/>
      <c r="F87" s="531"/>
      <c r="G87" s="555"/>
      <c r="H87" s="131" t="s">
        <v>326</v>
      </c>
      <c r="I87" s="132">
        <v>1</v>
      </c>
      <c r="J87" s="133">
        <v>1</v>
      </c>
      <c r="K87" s="132">
        <v>1</v>
      </c>
      <c r="L87" s="133">
        <v>1</v>
      </c>
      <c r="M87" s="534"/>
      <c r="N87" s="531"/>
      <c r="O87" s="144"/>
      <c r="P87" s="232">
        <v>0.15</v>
      </c>
      <c r="Q87" s="233">
        <v>1.3599999999999999E-2</v>
      </c>
      <c r="R87" s="234" t="s">
        <v>419</v>
      </c>
      <c r="S87" s="107"/>
      <c r="T87" s="107"/>
      <c r="U87" s="107"/>
      <c r="V87" s="107"/>
      <c r="W87" s="107"/>
      <c r="X87" s="107"/>
      <c r="Y87" s="107"/>
      <c r="Z87" s="107"/>
    </row>
    <row r="88" spans="1:26" ht="15.75" customHeight="1">
      <c r="A88" s="107"/>
      <c r="B88" s="534"/>
      <c r="C88" s="531"/>
      <c r="D88" s="531"/>
      <c r="E88" s="531"/>
      <c r="F88" s="531"/>
      <c r="G88" s="555"/>
      <c r="H88" s="131" t="s">
        <v>327</v>
      </c>
      <c r="I88" s="132">
        <v>1</v>
      </c>
      <c r="J88" s="133">
        <v>1</v>
      </c>
      <c r="K88" s="132">
        <v>1</v>
      </c>
      <c r="L88" s="133">
        <v>1</v>
      </c>
      <c r="M88" s="534"/>
      <c r="N88" s="531"/>
      <c r="O88" s="144"/>
      <c r="P88" s="232">
        <v>0.15</v>
      </c>
      <c r="Q88" s="233">
        <v>1.3599999999999999E-2</v>
      </c>
      <c r="R88" s="235"/>
      <c r="S88" s="107"/>
      <c r="T88" s="107"/>
      <c r="U88" s="107"/>
      <c r="V88" s="107"/>
      <c r="W88" s="107"/>
      <c r="X88" s="107"/>
      <c r="Y88" s="107"/>
      <c r="Z88" s="107"/>
    </row>
    <row r="89" spans="1:26" ht="15.75" customHeight="1">
      <c r="A89" s="107"/>
      <c r="B89" s="534"/>
      <c r="C89" s="531"/>
      <c r="D89" s="531"/>
      <c r="E89" s="531"/>
      <c r="F89" s="531"/>
      <c r="G89" s="555"/>
      <c r="H89" s="131" t="s">
        <v>109</v>
      </c>
      <c r="I89" s="132">
        <v>1</v>
      </c>
      <c r="J89" s="133">
        <v>1</v>
      </c>
      <c r="K89" s="132">
        <v>1</v>
      </c>
      <c r="L89" s="133">
        <v>1</v>
      </c>
      <c r="M89" s="534"/>
      <c r="N89" s="531"/>
      <c r="O89" s="134"/>
      <c r="P89" s="232">
        <v>0.15</v>
      </c>
      <c r="Q89" s="233">
        <v>1.3599999999999999E-2</v>
      </c>
      <c r="R89" s="563" t="s">
        <v>420</v>
      </c>
      <c r="S89" s="107"/>
      <c r="T89" s="107"/>
      <c r="U89" s="107"/>
      <c r="V89" s="107"/>
      <c r="W89" s="107"/>
      <c r="X89" s="107"/>
      <c r="Y89" s="107"/>
      <c r="Z89" s="107"/>
    </row>
    <row r="90" spans="1:26" ht="15.75" customHeight="1">
      <c r="A90" s="107"/>
      <c r="B90" s="535"/>
      <c r="C90" s="532"/>
      <c r="D90" s="532"/>
      <c r="E90" s="532"/>
      <c r="F90" s="532"/>
      <c r="G90" s="556"/>
      <c r="H90" s="143" t="s">
        <v>329</v>
      </c>
      <c r="I90" s="202">
        <v>1</v>
      </c>
      <c r="J90" s="203">
        <v>1</v>
      </c>
      <c r="K90" s="202">
        <v>1</v>
      </c>
      <c r="L90" s="203">
        <v>1</v>
      </c>
      <c r="M90" s="535"/>
      <c r="N90" s="532"/>
      <c r="O90" s="194"/>
      <c r="P90" s="147">
        <v>0.15</v>
      </c>
      <c r="Q90" s="236">
        <v>1.3599999999999999E-2</v>
      </c>
      <c r="R90" s="564"/>
      <c r="S90" s="107"/>
      <c r="T90" s="107"/>
      <c r="U90" s="107"/>
      <c r="V90" s="107"/>
      <c r="W90" s="107"/>
      <c r="X90" s="107"/>
      <c r="Y90" s="107"/>
      <c r="Z90" s="107"/>
    </row>
    <row r="91" spans="1:26" ht="15.75" customHeight="1">
      <c r="A91" s="107"/>
      <c r="B91" s="568" t="s">
        <v>421</v>
      </c>
      <c r="C91" s="530" t="s">
        <v>319</v>
      </c>
      <c r="D91" s="541" t="s">
        <v>422</v>
      </c>
      <c r="E91" s="542">
        <v>220000</v>
      </c>
      <c r="F91" s="543" t="s">
        <v>423</v>
      </c>
      <c r="G91" s="596" t="s">
        <v>424</v>
      </c>
      <c r="H91" s="124" t="s">
        <v>321</v>
      </c>
      <c r="I91" s="125">
        <v>0</v>
      </c>
      <c r="J91" s="126">
        <v>0</v>
      </c>
      <c r="K91" s="125">
        <v>0</v>
      </c>
      <c r="L91" s="126">
        <v>1</v>
      </c>
      <c r="M91" s="237"/>
      <c r="N91" s="160"/>
      <c r="O91" s="127"/>
      <c r="P91" s="196">
        <v>0.21</v>
      </c>
      <c r="Q91" s="197"/>
      <c r="R91" s="149" t="s">
        <v>425</v>
      </c>
      <c r="S91" s="107"/>
      <c r="T91" s="107"/>
      <c r="U91" s="107"/>
      <c r="V91" s="107"/>
      <c r="W91" s="107"/>
      <c r="X91" s="107"/>
      <c r="Y91" s="107"/>
      <c r="Z91" s="107"/>
    </row>
    <row r="92" spans="1:26" ht="15.75" customHeight="1">
      <c r="A92" s="107" t="s">
        <v>335</v>
      </c>
      <c r="B92" s="534"/>
      <c r="C92" s="531"/>
      <c r="D92" s="531"/>
      <c r="E92" s="531"/>
      <c r="F92" s="531"/>
      <c r="G92" s="555"/>
      <c r="H92" s="131" t="s">
        <v>324</v>
      </c>
      <c r="I92" s="132">
        <v>0</v>
      </c>
      <c r="J92" s="133">
        <v>0</v>
      </c>
      <c r="K92" s="132">
        <v>0</v>
      </c>
      <c r="L92" s="133">
        <v>1</v>
      </c>
      <c r="M92" s="238"/>
      <c r="N92" s="176"/>
      <c r="O92" s="134"/>
      <c r="P92" s="196">
        <v>0.21</v>
      </c>
      <c r="Q92" s="239"/>
      <c r="R92" s="151" t="s">
        <v>426</v>
      </c>
      <c r="S92" s="107"/>
      <c r="T92" s="107"/>
      <c r="U92" s="107"/>
      <c r="V92" s="107"/>
      <c r="W92" s="107"/>
      <c r="X92" s="107"/>
      <c r="Y92" s="107"/>
      <c r="Z92" s="107"/>
    </row>
    <row r="93" spans="1:26" ht="15.75" customHeight="1">
      <c r="A93" s="107"/>
      <c r="B93" s="534"/>
      <c r="C93" s="531"/>
      <c r="D93" s="531"/>
      <c r="E93" s="531"/>
      <c r="F93" s="531"/>
      <c r="G93" s="555"/>
      <c r="H93" s="131" t="s">
        <v>418</v>
      </c>
      <c r="I93" s="132">
        <v>0</v>
      </c>
      <c r="J93" s="133">
        <v>0</v>
      </c>
      <c r="K93" s="132">
        <v>1</v>
      </c>
      <c r="L93" s="133">
        <v>1</v>
      </c>
      <c r="M93" s="221">
        <v>46113</v>
      </c>
      <c r="N93" s="166" t="s">
        <v>427</v>
      </c>
      <c r="O93" s="140">
        <v>46113</v>
      </c>
      <c r="P93" s="232">
        <v>0.24</v>
      </c>
      <c r="Q93" s="239"/>
      <c r="R93" s="154" t="s">
        <v>428</v>
      </c>
      <c r="S93" s="107"/>
      <c r="T93" s="107"/>
      <c r="U93" s="107"/>
      <c r="V93" s="107"/>
      <c r="W93" s="107"/>
      <c r="X93" s="240"/>
      <c r="Y93" s="107"/>
      <c r="Z93" s="107"/>
    </row>
    <row r="94" spans="1:26" ht="15.75" customHeight="1">
      <c r="A94" s="107"/>
      <c r="B94" s="534"/>
      <c r="C94" s="531"/>
      <c r="D94" s="531"/>
      <c r="E94" s="531"/>
      <c r="F94" s="531"/>
      <c r="G94" s="555"/>
      <c r="H94" s="131" t="s">
        <v>112</v>
      </c>
      <c r="I94" s="132">
        <v>0</v>
      </c>
      <c r="J94" s="133">
        <v>1</v>
      </c>
      <c r="K94" s="132">
        <v>1</v>
      </c>
      <c r="L94" s="133">
        <v>1</v>
      </c>
      <c r="M94" s="238"/>
      <c r="N94" s="176"/>
      <c r="O94" s="134"/>
      <c r="P94" s="232">
        <v>0.24</v>
      </c>
      <c r="Q94" s="239"/>
      <c r="R94" s="154" t="s">
        <v>429</v>
      </c>
      <c r="S94" s="107"/>
      <c r="T94" s="107"/>
      <c r="U94" s="107"/>
      <c r="V94" s="107"/>
      <c r="W94" s="107"/>
      <c r="X94" s="107"/>
      <c r="Y94" s="107"/>
      <c r="Z94" s="107"/>
    </row>
    <row r="95" spans="1:26" ht="15.75" customHeight="1">
      <c r="A95" s="107"/>
      <c r="B95" s="535"/>
      <c r="C95" s="532"/>
      <c r="D95" s="532"/>
      <c r="E95" s="532"/>
      <c r="F95" s="532"/>
      <c r="G95" s="556"/>
      <c r="H95" s="143" t="s">
        <v>109</v>
      </c>
      <c r="I95" s="202">
        <v>0</v>
      </c>
      <c r="J95" s="203">
        <v>1</v>
      </c>
      <c r="K95" s="202">
        <v>1</v>
      </c>
      <c r="L95" s="203">
        <v>1</v>
      </c>
      <c r="M95" s="241"/>
      <c r="N95" s="242"/>
      <c r="O95" s="243"/>
      <c r="P95" s="232">
        <v>0.24</v>
      </c>
      <c r="Q95" s="214"/>
      <c r="R95" s="244" t="s">
        <v>430</v>
      </c>
      <c r="S95" s="107"/>
      <c r="T95" s="107"/>
      <c r="U95" s="107"/>
      <c r="V95" s="107"/>
      <c r="W95" s="107"/>
      <c r="X95" s="107"/>
      <c r="Y95" s="107"/>
      <c r="Z95" s="107"/>
    </row>
    <row r="96" spans="1:26" ht="15.75" customHeight="1">
      <c r="A96" s="107"/>
      <c r="B96" s="533" t="s">
        <v>431</v>
      </c>
      <c r="C96" s="530" t="s">
        <v>331</v>
      </c>
      <c r="D96" s="530" t="s">
        <v>432</v>
      </c>
      <c r="E96" s="536">
        <v>221000</v>
      </c>
      <c r="F96" s="543" t="s">
        <v>433</v>
      </c>
      <c r="G96" s="538" t="s">
        <v>424</v>
      </c>
      <c r="H96" s="124" t="s">
        <v>5</v>
      </c>
      <c r="I96" s="125">
        <v>0</v>
      </c>
      <c r="J96" s="126">
        <v>0</v>
      </c>
      <c r="K96" s="125">
        <v>0</v>
      </c>
      <c r="L96" s="126">
        <v>0</v>
      </c>
      <c r="M96" s="603">
        <v>46447</v>
      </c>
      <c r="N96" s="541" t="s">
        <v>434</v>
      </c>
      <c r="O96" s="602">
        <v>46447</v>
      </c>
      <c r="P96" s="196">
        <v>0.1</v>
      </c>
      <c r="Q96" s="197"/>
      <c r="R96" s="149" t="s">
        <v>435</v>
      </c>
      <c r="S96" s="107"/>
      <c r="T96" s="107"/>
      <c r="U96" s="107"/>
      <c r="V96" s="107"/>
      <c r="W96" s="107"/>
      <c r="X96" s="107"/>
      <c r="Y96" s="107"/>
      <c r="Z96" s="107"/>
    </row>
    <row r="97" spans="1:26" ht="15.75" customHeight="1">
      <c r="A97" s="107"/>
      <c r="B97" s="534"/>
      <c r="C97" s="531"/>
      <c r="D97" s="531"/>
      <c r="E97" s="531"/>
      <c r="F97" s="531"/>
      <c r="G97" s="539"/>
      <c r="H97" s="131" t="s">
        <v>324</v>
      </c>
      <c r="I97" s="132">
        <v>0</v>
      </c>
      <c r="J97" s="133">
        <v>0</v>
      </c>
      <c r="K97" s="132">
        <v>0</v>
      </c>
      <c r="L97" s="133">
        <v>1</v>
      </c>
      <c r="M97" s="534"/>
      <c r="N97" s="531"/>
      <c r="O97" s="539"/>
      <c r="P97" s="232">
        <v>0.1</v>
      </c>
      <c r="Q97" s="239"/>
      <c r="R97" s="151" t="s">
        <v>436</v>
      </c>
      <c r="S97" s="107"/>
      <c r="T97" s="107"/>
      <c r="U97" s="107"/>
      <c r="V97" s="107"/>
      <c r="W97" s="107"/>
      <c r="X97" s="107"/>
      <c r="Y97" s="107"/>
      <c r="Z97" s="107"/>
    </row>
    <row r="98" spans="1:26" ht="15.75" customHeight="1">
      <c r="A98" s="107" t="s">
        <v>335</v>
      </c>
      <c r="B98" s="534"/>
      <c r="C98" s="531"/>
      <c r="D98" s="531"/>
      <c r="E98" s="531"/>
      <c r="F98" s="531"/>
      <c r="G98" s="539"/>
      <c r="H98" s="131" t="s">
        <v>105</v>
      </c>
      <c r="I98" s="132">
        <v>1</v>
      </c>
      <c r="J98" s="133">
        <v>1</v>
      </c>
      <c r="K98" s="132">
        <v>1</v>
      </c>
      <c r="L98" s="133">
        <v>1</v>
      </c>
      <c r="M98" s="534"/>
      <c r="N98" s="531"/>
      <c r="O98" s="539"/>
      <c r="P98" s="232">
        <v>0.14000000000000001</v>
      </c>
      <c r="Q98" s="239"/>
      <c r="R98" s="139"/>
      <c r="S98" s="107"/>
      <c r="T98" s="107"/>
      <c r="U98" s="107"/>
      <c r="V98" s="107"/>
      <c r="W98" s="107"/>
      <c r="X98" s="107"/>
      <c r="Y98" s="107"/>
      <c r="Z98" s="107"/>
    </row>
    <row r="99" spans="1:26" ht="15.75" customHeight="1">
      <c r="A99" s="107"/>
      <c r="B99" s="534"/>
      <c r="C99" s="531"/>
      <c r="D99" s="531"/>
      <c r="E99" s="531"/>
      <c r="F99" s="531"/>
      <c r="G99" s="539"/>
      <c r="H99" s="173" t="s">
        <v>326</v>
      </c>
      <c r="I99" s="164">
        <v>1</v>
      </c>
      <c r="J99" s="165">
        <v>1</v>
      </c>
      <c r="K99" s="164">
        <v>1</v>
      </c>
      <c r="L99" s="165">
        <v>1</v>
      </c>
      <c r="M99" s="534"/>
      <c r="N99" s="531"/>
      <c r="O99" s="539"/>
      <c r="P99" s="232">
        <v>0.14000000000000001</v>
      </c>
      <c r="Q99" s="239"/>
      <c r="R99" s="139"/>
      <c r="S99" s="107"/>
      <c r="T99" s="107"/>
      <c r="U99" s="107"/>
      <c r="V99" s="107"/>
      <c r="W99" s="107"/>
      <c r="X99" s="107"/>
      <c r="Y99" s="107"/>
      <c r="Z99" s="107"/>
    </row>
    <row r="100" spans="1:26" ht="15.75" customHeight="1">
      <c r="A100" s="107"/>
      <c r="B100" s="534"/>
      <c r="C100" s="531"/>
      <c r="D100" s="531"/>
      <c r="E100" s="531"/>
      <c r="F100" s="531"/>
      <c r="G100" s="539"/>
      <c r="H100" s="173" t="s">
        <v>329</v>
      </c>
      <c r="I100" s="245">
        <v>1</v>
      </c>
      <c r="J100" s="246">
        <v>1</v>
      </c>
      <c r="K100" s="245">
        <v>1</v>
      </c>
      <c r="L100" s="246">
        <v>1</v>
      </c>
      <c r="M100" s="534"/>
      <c r="N100" s="531"/>
      <c r="O100" s="539"/>
      <c r="P100" s="232">
        <v>0.14000000000000001</v>
      </c>
      <c r="Q100" s="239"/>
      <c r="R100" s="563" t="s">
        <v>377</v>
      </c>
      <c r="S100" s="107"/>
      <c r="T100" s="107"/>
      <c r="U100" s="107"/>
      <c r="V100" s="107"/>
      <c r="W100" s="107"/>
      <c r="X100" s="107"/>
      <c r="Y100" s="107"/>
      <c r="Z100" s="107"/>
    </row>
    <row r="101" spans="1:26" ht="15.75" customHeight="1">
      <c r="A101" s="107"/>
      <c r="B101" s="535"/>
      <c r="C101" s="532"/>
      <c r="D101" s="532"/>
      <c r="E101" s="532"/>
      <c r="F101" s="532"/>
      <c r="G101" s="540"/>
      <c r="H101" s="201" t="s">
        <v>109</v>
      </c>
      <c r="I101" s="155">
        <v>1</v>
      </c>
      <c r="J101" s="156">
        <v>1</v>
      </c>
      <c r="K101" s="155">
        <v>1</v>
      </c>
      <c r="L101" s="156">
        <v>1</v>
      </c>
      <c r="M101" s="535"/>
      <c r="N101" s="532"/>
      <c r="O101" s="540"/>
      <c r="P101" s="213">
        <v>0.14000000000000001</v>
      </c>
      <c r="Q101" s="214"/>
      <c r="R101" s="564"/>
      <c r="S101" s="107"/>
      <c r="T101" s="107"/>
      <c r="U101" s="107"/>
      <c r="V101" s="107"/>
      <c r="W101" s="107"/>
      <c r="X101" s="107"/>
      <c r="Y101" s="107"/>
      <c r="Z101" s="107"/>
    </row>
    <row r="102" spans="1:26" ht="15.75" customHeight="1">
      <c r="A102" s="107"/>
      <c r="B102" s="549" t="s">
        <v>437</v>
      </c>
      <c r="C102" s="550" t="s">
        <v>331</v>
      </c>
      <c r="D102" s="550" t="s">
        <v>432</v>
      </c>
      <c r="E102" s="597">
        <v>246000</v>
      </c>
      <c r="F102" s="598" t="s">
        <v>438</v>
      </c>
      <c r="G102" s="585" t="s">
        <v>424</v>
      </c>
      <c r="H102" s="131" t="s">
        <v>5</v>
      </c>
      <c r="I102" s="132">
        <v>0</v>
      </c>
      <c r="J102" s="133">
        <v>0</v>
      </c>
      <c r="K102" s="132">
        <v>0</v>
      </c>
      <c r="L102" s="133">
        <v>0</v>
      </c>
      <c r="M102" s="569">
        <v>46569</v>
      </c>
      <c r="N102" s="570" t="s">
        <v>439</v>
      </c>
      <c r="O102" s="600">
        <v>46569</v>
      </c>
      <c r="P102" s="147">
        <v>0.12</v>
      </c>
      <c r="Q102" s="148"/>
      <c r="R102" s="216" t="s">
        <v>440</v>
      </c>
      <c r="S102" s="240"/>
      <c r="T102" s="107"/>
      <c r="U102" s="107"/>
      <c r="V102" s="107"/>
      <c r="W102" s="107"/>
      <c r="X102" s="107"/>
      <c r="Y102" s="107"/>
      <c r="Z102" s="107"/>
    </row>
    <row r="103" spans="1:26" ht="15.75" customHeight="1">
      <c r="A103" s="107"/>
      <c r="B103" s="534"/>
      <c r="C103" s="531"/>
      <c r="D103" s="531"/>
      <c r="E103" s="531"/>
      <c r="F103" s="531"/>
      <c r="G103" s="539"/>
      <c r="H103" s="131" t="s">
        <v>103</v>
      </c>
      <c r="I103" s="132">
        <v>0</v>
      </c>
      <c r="J103" s="133">
        <v>1</v>
      </c>
      <c r="K103" s="132">
        <v>0</v>
      </c>
      <c r="L103" s="133">
        <v>1</v>
      </c>
      <c r="M103" s="534"/>
      <c r="N103" s="531"/>
      <c r="O103" s="539"/>
      <c r="P103" s="147">
        <v>0.12</v>
      </c>
      <c r="Q103" s="148"/>
      <c r="R103" s="151" t="s">
        <v>441</v>
      </c>
      <c r="S103" s="240"/>
      <c r="T103" s="107"/>
      <c r="U103" s="107"/>
      <c r="V103" s="107"/>
      <c r="W103" s="107"/>
      <c r="X103" s="107"/>
      <c r="Y103" s="107"/>
      <c r="Z103" s="107"/>
    </row>
    <row r="104" spans="1:26" ht="15.75" customHeight="1">
      <c r="A104" s="107"/>
      <c r="B104" s="534"/>
      <c r="C104" s="531"/>
      <c r="D104" s="531"/>
      <c r="E104" s="531"/>
      <c r="F104" s="531"/>
      <c r="G104" s="539"/>
      <c r="H104" s="131" t="s">
        <v>326</v>
      </c>
      <c r="I104" s="132">
        <v>0</v>
      </c>
      <c r="J104" s="133">
        <v>1</v>
      </c>
      <c r="K104" s="132">
        <v>1</v>
      </c>
      <c r="L104" s="133">
        <v>1</v>
      </c>
      <c r="M104" s="534"/>
      <c r="N104" s="531"/>
      <c r="O104" s="539"/>
      <c r="P104" s="147">
        <v>0.12</v>
      </c>
      <c r="Q104" s="148"/>
      <c r="R104" s="139"/>
      <c r="S104" s="240"/>
      <c r="T104" s="107"/>
      <c r="U104" s="107"/>
      <c r="V104" s="107"/>
      <c r="W104" s="107"/>
      <c r="X104" s="107"/>
      <c r="Y104" s="107"/>
      <c r="Z104" s="107"/>
    </row>
    <row r="105" spans="1:26" ht="15.75" customHeight="1">
      <c r="A105" s="247" t="s">
        <v>335</v>
      </c>
      <c r="B105" s="534"/>
      <c r="C105" s="531"/>
      <c r="D105" s="531"/>
      <c r="E105" s="531"/>
      <c r="F105" s="531"/>
      <c r="G105" s="539"/>
      <c r="H105" s="180" t="s">
        <v>104</v>
      </c>
      <c r="I105" s="132">
        <v>1</v>
      </c>
      <c r="J105" s="133">
        <v>1</v>
      </c>
      <c r="K105" s="132">
        <v>1</v>
      </c>
      <c r="L105" s="133">
        <v>1</v>
      </c>
      <c r="M105" s="534"/>
      <c r="N105" s="531"/>
      <c r="O105" s="539"/>
      <c r="P105" s="147">
        <v>0.12</v>
      </c>
      <c r="Q105" s="148"/>
      <c r="R105" s="154" t="s">
        <v>339</v>
      </c>
      <c r="S105" s="240"/>
      <c r="T105" s="107"/>
      <c r="U105" s="107"/>
      <c r="V105" s="107"/>
      <c r="W105" s="107"/>
      <c r="X105" s="107"/>
      <c r="Y105" s="107"/>
      <c r="Z105" s="107"/>
    </row>
    <row r="106" spans="1:26" ht="15.75" customHeight="1">
      <c r="A106" s="107"/>
      <c r="B106" s="534"/>
      <c r="C106" s="531"/>
      <c r="D106" s="531"/>
      <c r="E106" s="531"/>
      <c r="F106" s="531"/>
      <c r="G106" s="539"/>
      <c r="H106" s="131" t="s">
        <v>109</v>
      </c>
      <c r="I106" s="132">
        <v>1</v>
      </c>
      <c r="J106" s="133">
        <v>1</v>
      </c>
      <c r="K106" s="132">
        <v>1</v>
      </c>
      <c r="L106" s="133">
        <v>1</v>
      </c>
      <c r="M106" s="534"/>
      <c r="N106" s="531"/>
      <c r="O106" s="539"/>
      <c r="P106" s="147">
        <v>0.12</v>
      </c>
      <c r="Q106" s="148"/>
      <c r="R106" s="143"/>
      <c r="S106" s="240"/>
      <c r="T106" s="107"/>
      <c r="U106" s="107"/>
      <c r="V106" s="107"/>
      <c r="W106" s="107"/>
      <c r="X106" s="107"/>
      <c r="Y106" s="107"/>
      <c r="Z106" s="107"/>
    </row>
    <row r="107" spans="1:26" ht="15.75" customHeight="1">
      <c r="A107" s="107"/>
      <c r="B107" s="534"/>
      <c r="C107" s="531"/>
      <c r="D107" s="531"/>
      <c r="E107" s="531"/>
      <c r="F107" s="531"/>
      <c r="G107" s="539"/>
      <c r="H107" s="139" t="s">
        <v>442</v>
      </c>
      <c r="I107" s="192">
        <v>1</v>
      </c>
      <c r="J107" s="193">
        <v>1</v>
      </c>
      <c r="K107" s="192">
        <v>0</v>
      </c>
      <c r="L107" s="193">
        <v>1</v>
      </c>
      <c r="M107" s="534"/>
      <c r="N107" s="531"/>
      <c r="O107" s="539"/>
      <c r="P107" s="147">
        <v>0.15</v>
      </c>
      <c r="Q107" s="148"/>
      <c r="R107" s="248" t="s">
        <v>443</v>
      </c>
      <c r="S107" s="240"/>
      <c r="T107" s="107"/>
      <c r="U107" s="107"/>
      <c r="V107" s="107"/>
      <c r="W107" s="107"/>
      <c r="X107" s="107"/>
      <c r="Y107" s="107"/>
      <c r="Z107" s="107"/>
    </row>
    <row r="108" spans="1:26" ht="15.75" customHeight="1">
      <c r="A108" s="107"/>
      <c r="B108" s="535"/>
      <c r="C108" s="532"/>
      <c r="D108" s="532"/>
      <c r="E108" s="532"/>
      <c r="F108" s="532"/>
      <c r="G108" s="540"/>
      <c r="H108" s="201" t="s">
        <v>444</v>
      </c>
      <c r="I108" s="155">
        <v>0</v>
      </c>
      <c r="J108" s="156">
        <v>1</v>
      </c>
      <c r="K108" s="155">
        <v>0</v>
      </c>
      <c r="L108" s="156">
        <v>1</v>
      </c>
      <c r="M108" s="535"/>
      <c r="N108" s="532"/>
      <c r="O108" s="540"/>
      <c r="P108" s="249">
        <v>0.05</v>
      </c>
      <c r="Q108" s="158"/>
      <c r="R108" s="143"/>
      <c r="S108" s="240"/>
      <c r="T108" s="107"/>
      <c r="U108" s="107"/>
      <c r="V108" s="107"/>
      <c r="W108" s="107"/>
      <c r="X108" s="107"/>
      <c r="Y108" s="107"/>
      <c r="Z108" s="107"/>
    </row>
    <row r="109" spans="1:26" ht="15.75" customHeight="1">
      <c r="A109" s="107"/>
      <c r="B109" s="599" t="s">
        <v>445</v>
      </c>
      <c r="C109" s="586" t="s">
        <v>319</v>
      </c>
      <c r="D109" s="530" t="s">
        <v>432</v>
      </c>
      <c r="E109" s="587">
        <v>223000</v>
      </c>
      <c r="F109" s="543" t="s">
        <v>433</v>
      </c>
      <c r="G109" s="588" t="s">
        <v>424</v>
      </c>
      <c r="H109" s="211" t="s">
        <v>103</v>
      </c>
      <c r="I109" s="125">
        <v>0</v>
      </c>
      <c r="J109" s="126">
        <v>0</v>
      </c>
      <c r="K109" s="125">
        <v>0</v>
      </c>
      <c r="L109" s="126">
        <v>0</v>
      </c>
      <c r="M109" s="614" t="s">
        <v>446</v>
      </c>
      <c r="N109" s="541" t="s">
        <v>447</v>
      </c>
      <c r="O109" s="605">
        <v>46722</v>
      </c>
      <c r="P109" s="196">
        <v>0.1</v>
      </c>
      <c r="Q109" s="197"/>
      <c r="R109" s="216" t="s">
        <v>448</v>
      </c>
      <c r="S109" s="240"/>
      <c r="T109" s="107"/>
      <c r="U109" s="107"/>
      <c r="V109" s="107"/>
      <c r="W109" s="107"/>
      <c r="X109" s="107"/>
      <c r="Y109" s="107"/>
      <c r="Z109" s="107"/>
    </row>
    <row r="110" spans="1:26" ht="15.75" customHeight="1">
      <c r="A110" s="107"/>
      <c r="B110" s="576"/>
      <c r="C110" s="534"/>
      <c r="D110" s="531"/>
      <c r="E110" s="539"/>
      <c r="F110" s="531"/>
      <c r="G110" s="555"/>
      <c r="H110" s="210" t="s">
        <v>105</v>
      </c>
      <c r="I110" s="164">
        <v>0</v>
      </c>
      <c r="J110" s="165">
        <v>1</v>
      </c>
      <c r="K110" s="164">
        <v>0</v>
      </c>
      <c r="L110" s="165">
        <v>0</v>
      </c>
      <c r="M110" s="534"/>
      <c r="N110" s="531"/>
      <c r="O110" s="555"/>
      <c r="P110" s="232">
        <v>0.15</v>
      </c>
      <c r="Q110" s="239"/>
      <c r="R110" s="151" t="s">
        <v>449</v>
      </c>
      <c r="S110" s="240"/>
      <c r="T110" s="107"/>
      <c r="U110" s="107"/>
      <c r="V110" s="107"/>
      <c r="W110" s="107"/>
      <c r="X110" s="107"/>
      <c r="Y110" s="107"/>
      <c r="Z110" s="107"/>
    </row>
    <row r="111" spans="1:26" ht="15.75" customHeight="1">
      <c r="A111" s="107"/>
      <c r="B111" s="576"/>
      <c r="C111" s="534"/>
      <c r="D111" s="531"/>
      <c r="E111" s="539"/>
      <c r="F111" s="531"/>
      <c r="G111" s="555"/>
      <c r="H111" s="210" t="s">
        <v>450</v>
      </c>
      <c r="I111" s="164">
        <v>1</v>
      </c>
      <c r="J111" s="165">
        <v>1</v>
      </c>
      <c r="K111" s="164">
        <v>0</v>
      </c>
      <c r="L111" s="165">
        <v>1</v>
      </c>
      <c r="M111" s="534"/>
      <c r="N111" s="531"/>
      <c r="O111" s="555"/>
      <c r="P111" s="232">
        <v>0.15</v>
      </c>
      <c r="Q111" s="239"/>
      <c r="R111" s="250" t="s">
        <v>451</v>
      </c>
      <c r="S111" s="240"/>
      <c r="T111" s="107"/>
      <c r="U111" s="107"/>
      <c r="V111" s="107"/>
      <c r="W111" s="107"/>
      <c r="X111" s="107"/>
      <c r="Y111" s="107"/>
      <c r="Z111" s="107"/>
    </row>
    <row r="112" spans="1:26" ht="15.75" customHeight="1">
      <c r="A112" s="107"/>
      <c r="B112" s="576"/>
      <c r="C112" s="534"/>
      <c r="D112" s="531"/>
      <c r="E112" s="539"/>
      <c r="F112" s="531"/>
      <c r="G112" s="555"/>
      <c r="H112" s="210" t="s">
        <v>112</v>
      </c>
      <c r="I112" s="164">
        <v>1</v>
      </c>
      <c r="J112" s="165">
        <v>1</v>
      </c>
      <c r="K112" s="164">
        <v>0</v>
      </c>
      <c r="L112" s="165">
        <v>1</v>
      </c>
      <c r="M112" s="534"/>
      <c r="N112" s="531"/>
      <c r="O112" s="555"/>
      <c r="P112" s="232">
        <v>0.17</v>
      </c>
      <c r="Q112" s="239"/>
      <c r="R112" s="139"/>
      <c r="S112" s="240"/>
      <c r="T112" s="107"/>
      <c r="U112" s="107"/>
      <c r="V112" s="107"/>
      <c r="W112" s="107"/>
      <c r="X112" s="107"/>
      <c r="Y112" s="107"/>
      <c r="Z112" s="107"/>
    </row>
    <row r="113" spans="1:26" ht="15.75" customHeight="1">
      <c r="A113" s="107"/>
      <c r="B113" s="576"/>
      <c r="C113" s="534"/>
      <c r="D113" s="531"/>
      <c r="E113" s="539"/>
      <c r="F113" s="531"/>
      <c r="G113" s="555"/>
      <c r="H113" s="210" t="s">
        <v>109</v>
      </c>
      <c r="I113" s="164">
        <v>1</v>
      </c>
      <c r="J113" s="165">
        <v>1</v>
      </c>
      <c r="K113" s="164">
        <v>1</v>
      </c>
      <c r="L113" s="165">
        <v>1</v>
      </c>
      <c r="M113" s="534"/>
      <c r="N113" s="531"/>
      <c r="O113" s="555"/>
      <c r="P113" s="232">
        <v>0.17</v>
      </c>
      <c r="Q113" s="239"/>
      <c r="R113" s="154" t="s">
        <v>452</v>
      </c>
      <c r="S113" s="240"/>
      <c r="T113" s="107"/>
      <c r="U113" s="107"/>
      <c r="V113" s="107"/>
      <c r="W113" s="107"/>
      <c r="X113" s="107"/>
      <c r="Y113" s="107"/>
      <c r="Z113" s="107"/>
    </row>
    <row r="114" spans="1:26" ht="15.75" customHeight="1">
      <c r="A114" s="107" t="s">
        <v>453</v>
      </c>
      <c r="B114" s="576"/>
      <c r="C114" s="534"/>
      <c r="D114" s="531"/>
      <c r="E114" s="539"/>
      <c r="F114" s="531"/>
      <c r="G114" s="555"/>
      <c r="H114" s="210" t="s">
        <v>454</v>
      </c>
      <c r="I114" s="164">
        <v>1</v>
      </c>
      <c r="J114" s="165">
        <v>1</v>
      </c>
      <c r="K114" s="164">
        <v>1</v>
      </c>
      <c r="L114" s="165">
        <v>1</v>
      </c>
      <c r="M114" s="534"/>
      <c r="N114" s="531"/>
      <c r="O114" s="555"/>
      <c r="P114" s="232">
        <v>0.17</v>
      </c>
      <c r="Q114" s="239"/>
      <c r="R114" s="206"/>
      <c r="S114" s="240"/>
      <c r="T114" s="107"/>
      <c r="U114" s="107"/>
      <c r="V114" s="107"/>
      <c r="W114" s="107"/>
      <c r="X114" s="107"/>
      <c r="Y114" s="107"/>
      <c r="Z114" s="107"/>
    </row>
    <row r="115" spans="1:26" ht="15.75" customHeight="1">
      <c r="A115" s="107"/>
      <c r="B115" s="576"/>
      <c r="C115" s="534"/>
      <c r="D115" s="531"/>
      <c r="E115" s="539"/>
      <c r="F115" s="531"/>
      <c r="G115" s="555"/>
      <c r="H115" s="210" t="s">
        <v>455</v>
      </c>
      <c r="I115" s="164">
        <v>1</v>
      </c>
      <c r="J115" s="165">
        <v>1</v>
      </c>
      <c r="K115" s="164">
        <v>1</v>
      </c>
      <c r="L115" s="165">
        <v>1</v>
      </c>
      <c r="M115" s="534"/>
      <c r="N115" s="531"/>
      <c r="O115" s="555"/>
      <c r="P115" s="232">
        <v>0.17</v>
      </c>
      <c r="Q115" s="239"/>
      <c r="R115" s="206"/>
      <c r="S115" s="240"/>
      <c r="T115" s="107"/>
      <c r="U115" s="107"/>
      <c r="V115" s="107"/>
      <c r="W115" s="107"/>
      <c r="X115" s="107"/>
      <c r="Y115" s="107"/>
      <c r="Z115" s="107"/>
    </row>
    <row r="116" spans="1:26" ht="15.75" customHeight="1">
      <c r="A116" s="107"/>
      <c r="B116" s="576"/>
      <c r="C116" s="534"/>
      <c r="D116" s="531"/>
      <c r="E116" s="539"/>
      <c r="F116" s="531"/>
      <c r="G116" s="555"/>
      <c r="H116" s="210" t="s">
        <v>456</v>
      </c>
      <c r="I116" s="164">
        <v>1</v>
      </c>
      <c r="J116" s="165">
        <v>1</v>
      </c>
      <c r="K116" s="164">
        <v>1</v>
      </c>
      <c r="L116" s="165">
        <v>1</v>
      </c>
      <c r="M116" s="534"/>
      <c r="N116" s="531"/>
      <c r="O116" s="555"/>
      <c r="P116" s="232">
        <v>0.17</v>
      </c>
      <c r="Q116" s="239"/>
      <c r="R116" s="206"/>
      <c r="S116" s="240"/>
      <c r="T116" s="107"/>
      <c r="U116" s="107"/>
      <c r="V116" s="107"/>
      <c r="W116" s="107"/>
      <c r="X116" s="107"/>
      <c r="Y116" s="107"/>
      <c r="Z116" s="107"/>
    </row>
    <row r="117" spans="1:26" ht="15.75" customHeight="1">
      <c r="A117" s="107"/>
      <c r="B117" s="576"/>
      <c r="C117" s="534"/>
      <c r="D117" s="531"/>
      <c r="E117" s="539"/>
      <c r="F117" s="531"/>
      <c r="G117" s="555"/>
      <c r="H117" s="210" t="s">
        <v>457</v>
      </c>
      <c r="I117" s="164">
        <v>1</v>
      </c>
      <c r="J117" s="165">
        <v>1</v>
      </c>
      <c r="K117" s="164">
        <v>1</v>
      </c>
      <c r="L117" s="165">
        <v>1</v>
      </c>
      <c r="M117" s="534"/>
      <c r="N117" s="531"/>
      <c r="O117" s="555"/>
      <c r="P117" s="232">
        <v>0.17</v>
      </c>
      <c r="Q117" s="239"/>
      <c r="R117" s="206"/>
      <c r="S117" s="240"/>
      <c r="T117" s="107"/>
      <c r="U117" s="107"/>
      <c r="V117" s="107"/>
      <c r="W117" s="107"/>
      <c r="X117" s="107"/>
      <c r="Y117" s="107"/>
      <c r="Z117" s="107"/>
    </row>
    <row r="118" spans="1:26" ht="15.75" customHeight="1">
      <c r="A118" s="107"/>
      <c r="B118" s="576"/>
      <c r="C118" s="534"/>
      <c r="D118" s="531"/>
      <c r="E118" s="539"/>
      <c r="F118" s="531"/>
      <c r="G118" s="555"/>
      <c r="H118" s="210" t="s">
        <v>458</v>
      </c>
      <c r="I118" s="164">
        <v>1</v>
      </c>
      <c r="J118" s="165">
        <v>1</v>
      </c>
      <c r="K118" s="164">
        <v>1</v>
      </c>
      <c r="L118" s="165">
        <v>1</v>
      </c>
      <c r="M118" s="534"/>
      <c r="N118" s="531"/>
      <c r="O118" s="555"/>
      <c r="P118" s="232">
        <v>0.17</v>
      </c>
      <c r="Q118" s="239"/>
      <c r="R118" s="563" t="s">
        <v>377</v>
      </c>
      <c r="S118" s="240"/>
      <c r="T118" s="107"/>
      <c r="U118" s="107"/>
      <c r="V118" s="107"/>
      <c r="W118" s="107"/>
      <c r="X118" s="107"/>
      <c r="Y118" s="107"/>
      <c r="Z118" s="107"/>
    </row>
    <row r="119" spans="1:26" ht="15.75" customHeight="1">
      <c r="A119" s="107"/>
      <c r="B119" s="564"/>
      <c r="C119" s="535"/>
      <c r="D119" s="532"/>
      <c r="E119" s="540"/>
      <c r="F119" s="532"/>
      <c r="G119" s="556"/>
      <c r="H119" s="251" t="s">
        <v>459</v>
      </c>
      <c r="I119" s="155">
        <v>1</v>
      </c>
      <c r="J119" s="156">
        <v>1</v>
      </c>
      <c r="K119" s="155">
        <v>1</v>
      </c>
      <c r="L119" s="156">
        <v>1</v>
      </c>
      <c r="M119" s="535"/>
      <c r="N119" s="532"/>
      <c r="O119" s="556"/>
      <c r="P119" s="232">
        <v>0.17</v>
      </c>
      <c r="Q119" s="214"/>
      <c r="R119" s="564"/>
      <c r="S119" s="240"/>
      <c r="T119" s="107"/>
      <c r="U119" s="107"/>
      <c r="V119" s="107"/>
      <c r="W119" s="107"/>
      <c r="X119" s="107"/>
      <c r="Y119" s="107"/>
      <c r="Z119" s="107"/>
    </row>
    <row r="120" spans="1:26" ht="15.75" customHeight="1">
      <c r="A120" s="107"/>
      <c r="B120" s="533" t="s">
        <v>460</v>
      </c>
      <c r="C120" s="530" t="s">
        <v>319</v>
      </c>
      <c r="D120" s="530" t="s">
        <v>432</v>
      </c>
      <c r="E120" s="536">
        <v>204000</v>
      </c>
      <c r="F120" s="537" t="s">
        <v>433</v>
      </c>
      <c r="G120" s="538" t="s">
        <v>424</v>
      </c>
      <c r="H120" s="124" t="s">
        <v>103</v>
      </c>
      <c r="I120" s="125">
        <v>0</v>
      </c>
      <c r="J120" s="126">
        <v>0</v>
      </c>
      <c r="K120" s="125">
        <v>0</v>
      </c>
      <c r="L120" s="126">
        <v>1</v>
      </c>
      <c r="M120" s="586" t="s">
        <v>461</v>
      </c>
      <c r="N120" s="541" t="s">
        <v>462</v>
      </c>
      <c r="O120" s="602">
        <v>46722</v>
      </c>
      <c r="P120" s="190">
        <v>0.1</v>
      </c>
      <c r="Q120" s="191"/>
      <c r="R120" s="149" t="s">
        <v>440</v>
      </c>
      <c r="S120" s="240"/>
      <c r="T120" s="107"/>
      <c r="U120" s="107"/>
      <c r="V120" s="107"/>
      <c r="W120" s="107"/>
      <c r="X120" s="107"/>
      <c r="Y120" s="107"/>
      <c r="Z120" s="107"/>
    </row>
    <row r="121" spans="1:26" ht="15.75" customHeight="1">
      <c r="A121" s="107"/>
      <c r="B121" s="534"/>
      <c r="C121" s="531"/>
      <c r="D121" s="531"/>
      <c r="E121" s="531"/>
      <c r="F121" s="531"/>
      <c r="G121" s="539"/>
      <c r="H121" s="131" t="s">
        <v>105</v>
      </c>
      <c r="I121" s="164">
        <v>0</v>
      </c>
      <c r="J121" s="165">
        <v>1</v>
      </c>
      <c r="K121" s="164">
        <v>1</v>
      </c>
      <c r="L121" s="165">
        <v>1</v>
      </c>
      <c r="M121" s="534"/>
      <c r="N121" s="531"/>
      <c r="O121" s="539"/>
      <c r="P121" s="147">
        <v>0.1</v>
      </c>
      <c r="Q121" s="148"/>
      <c r="R121" s="151" t="s">
        <v>463</v>
      </c>
      <c r="S121" s="240"/>
      <c r="T121" s="107"/>
      <c r="U121" s="107"/>
      <c r="V121" s="107"/>
      <c r="W121" s="107"/>
      <c r="X121" s="107"/>
      <c r="Y121" s="107"/>
      <c r="Z121" s="107"/>
    </row>
    <row r="122" spans="1:26" ht="15.75" customHeight="1">
      <c r="A122" s="107" t="s">
        <v>453</v>
      </c>
      <c r="B122" s="534"/>
      <c r="C122" s="531"/>
      <c r="D122" s="531"/>
      <c r="E122" s="531"/>
      <c r="F122" s="531"/>
      <c r="G122" s="539"/>
      <c r="H122" s="131" t="s">
        <v>106</v>
      </c>
      <c r="I122" s="164">
        <v>1</v>
      </c>
      <c r="J122" s="165">
        <v>1</v>
      </c>
      <c r="K122" s="164">
        <v>1</v>
      </c>
      <c r="L122" s="165">
        <v>1</v>
      </c>
      <c r="M122" s="534"/>
      <c r="N122" s="531"/>
      <c r="O122" s="539"/>
      <c r="P122" s="147">
        <v>0.1</v>
      </c>
      <c r="Q122" s="148"/>
      <c r="R122" s="252" t="s">
        <v>464</v>
      </c>
      <c r="S122" s="240"/>
      <c r="T122" s="107"/>
      <c r="U122" s="107"/>
      <c r="V122" s="107"/>
      <c r="W122" s="107"/>
      <c r="X122" s="107"/>
      <c r="Y122" s="107"/>
      <c r="Z122" s="107"/>
    </row>
    <row r="123" spans="1:26" ht="15.75" customHeight="1">
      <c r="A123" s="107"/>
      <c r="B123" s="535"/>
      <c r="C123" s="532"/>
      <c r="D123" s="532"/>
      <c r="E123" s="532"/>
      <c r="F123" s="532"/>
      <c r="G123" s="540"/>
      <c r="H123" s="201"/>
      <c r="I123" s="185"/>
      <c r="J123" s="186"/>
      <c r="K123" s="185"/>
      <c r="L123" s="186"/>
      <c r="M123" s="535"/>
      <c r="N123" s="532"/>
      <c r="O123" s="540"/>
      <c r="P123" s="229"/>
      <c r="Q123" s="158"/>
      <c r="R123" s="244" t="s">
        <v>465</v>
      </c>
      <c r="S123" s="240"/>
      <c r="T123" s="107"/>
      <c r="U123" s="107"/>
      <c r="V123" s="107"/>
      <c r="W123" s="107"/>
      <c r="X123" s="107"/>
      <c r="Y123" s="107"/>
      <c r="Z123" s="107"/>
    </row>
    <row r="124" spans="1:26" ht="15.75" customHeight="1">
      <c r="A124" s="107"/>
      <c r="B124" s="533" t="s">
        <v>466</v>
      </c>
      <c r="C124" s="530" t="s">
        <v>319</v>
      </c>
      <c r="D124" s="530" t="s">
        <v>432</v>
      </c>
      <c r="E124" s="536">
        <v>222000</v>
      </c>
      <c r="F124" s="543" t="s">
        <v>433</v>
      </c>
      <c r="G124" s="548" t="s">
        <v>424</v>
      </c>
      <c r="H124" s="124" t="s">
        <v>74</v>
      </c>
      <c r="I124" s="125">
        <v>1</v>
      </c>
      <c r="J124" s="126">
        <v>1</v>
      </c>
      <c r="K124" s="125">
        <v>1</v>
      </c>
      <c r="L124" s="126">
        <v>1</v>
      </c>
      <c r="M124" s="614" t="s">
        <v>467</v>
      </c>
      <c r="N124" s="541" t="s">
        <v>468</v>
      </c>
      <c r="O124" s="602">
        <v>46813</v>
      </c>
      <c r="P124" s="190">
        <v>0.1</v>
      </c>
      <c r="Q124" s="191"/>
      <c r="R124" s="205" t="s">
        <v>469</v>
      </c>
      <c r="S124" s="107"/>
      <c r="T124" s="107"/>
      <c r="U124" s="107"/>
      <c r="V124" s="107"/>
      <c r="W124" s="107"/>
      <c r="X124" s="107"/>
      <c r="Y124" s="107"/>
      <c r="Z124" s="107"/>
    </row>
    <row r="125" spans="1:26" ht="15.75" customHeight="1">
      <c r="A125" s="107"/>
      <c r="B125" s="534"/>
      <c r="C125" s="531"/>
      <c r="D125" s="531"/>
      <c r="E125" s="531"/>
      <c r="F125" s="531"/>
      <c r="G125" s="539"/>
      <c r="H125" s="131" t="s">
        <v>5</v>
      </c>
      <c r="I125" s="132">
        <v>0</v>
      </c>
      <c r="J125" s="133">
        <v>1</v>
      </c>
      <c r="K125" s="132">
        <v>1</v>
      </c>
      <c r="L125" s="133">
        <v>1</v>
      </c>
      <c r="M125" s="534"/>
      <c r="N125" s="531"/>
      <c r="O125" s="539"/>
      <c r="P125" s="147">
        <v>0.1</v>
      </c>
      <c r="Q125" s="148"/>
      <c r="R125" s="151" t="s">
        <v>470</v>
      </c>
      <c r="S125" s="107"/>
      <c r="T125" s="107"/>
      <c r="U125" s="107"/>
      <c r="V125" s="107"/>
      <c r="W125" s="107"/>
      <c r="X125" s="107"/>
      <c r="Y125" s="107"/>
      <c r="Z125" s="107"/>
    </row>
    <row r="126" spans="1:26" ht="15.75" customHeight="1">
      <c r="A126" s="107"/>
      <c r="B126" s="534"/>
      <c r="C126" s="531"/>
      <c r="D126" s="531"/>
      <c r="E126" s="531"/>
      <c r="F126" s="531"/>
      <c r="G126" s="539"/>
      <c r="H126" s="131" t="s">
        <v>324</v>
      </c>
      <c r="I126" s="132">
        <v>1</v>
      </c>
      <c r="J126" s="133">
        <v>1</v>
      </c>
      <c r="K126" s="132">
        <v>1</v>
      </c>
      <c r="L126" s="133">
        <v>1</v>
      </c>
      <c r="M126" s="534"/>
      <c r="N126" s="531"/>
      <c r="O126" s="539"/>
      <c r="P126" s="147">
        <v>0.1</v>
      </c>
      <c r="Q126" s="148"/>
      <c r="R126" s="139"/>
      <c r="S126" s="107"/>
      <c r="T126" s="107"/>
      <c r="U126" s="107"/>
      <c r="V126" s="107"/>
      <c r="W126" s="107"/>
      <c r="X126" s="107"/>
      <c r="Y126" s="107"/>
      <c r="Z126" s="107"/>
    </row>
    <row r="127" spans="1:26" ht="15.75" customHeight="1">
      <c r="A127" s="107" t="s">
        <v>453</v>
      </c>
      <c r="B127" s="534"/>
      <c r="C127" s="531"/>
      <c r="D127" s="531"/>
      <c r="E127" s="531"/>
      <c r="F127" s="531"/>
      <c r="G127" s="539"/>
      <c r="H127" s="131" t="s">
        <v>105</v>
      </c>
      <c r="I127" s="132">
        <v>1</v>
      </c>
      <c r="J127" s="133">
        <v>1</v>
      </c>
      <c r="K127" s="132">
        <v>1</v>
      </c>
      <c r="L127" s="133">
        <v>1</v>
      </c>
      <c r="M127" s="534"/>
      <c r="N127" s="531"/>
      <c r="O127" s="539"/>
      <c r="P127" s="147">
        <v>0.1</v>
      </c>
      <c r="Q127" s="148"/>
      <c r="R127" s="139"/>
      <c r="S127" s="107"/>
      <c r="T127" s="107"/>
      <c r="U127" s="107"/>
      <c r="V127" s="107"/>
      <c r="W127" s="107"/>
      <c r="X127" s="107"/>
      <c r="Y127" s="107"/>
      <c r="Z127" s="107"/>
    </row>
    <row r="128" spans="1:26" ht="15.75" customHeight="1">
      <c r="A128" s="107"/>
      <c r="B128" s="534"/>
      <c r="C128" s="531"/>
      <c r="D128" s="531"/>
      <c r="E128" s="531"/>
      <c r="F128" s="531"/>
      <c r="G128" s="539"/>
      <c r="H128" s="131" t="s">
        <v>108</v>
      </c>
      <c r="I128" s="132">
        <v>1</v>
      </c>
      <c r="J128" s="133">
        <v>1</v>
      </c>
      <c r="K128" s="132">
        <v>1</v>
      </c>
      <c r="L128" s="133">
        <v>1</v>
      </c>
      <c r="M128" s="534"/>
      <c r="N128" s="531"/>
      <c r="O128" s="539"/>
      <c r="P128" s="147">
        <v>0.1</v>
      </c>
      <c r="Q128" s="148"/>
      <c r="R128" s="139"/>
      <c r="S128" s="107"/>
      <c r="T128" s="107"/>
      <c r="U128" s="107"/>
      <c r="V128" s="107"/>
      <c r="W128" s="107"/>
      <c r="X128" s="107"/>
      <c r="Y128" s="107"/>
      <c r="Z128" s="107"/>
    </row>
    <row r="129" spans="1:26" ht="15.75" customHeight="1">
      <c r="A129" s="107"/>
      <c r="B129" s="534"/>
      <c r="C129" s="531"/>
      <c r="D129" s="531"/>
      <c r="E129" s="531"/>
      <c r="F129" s="531"/>
      <c r="G129" s="539"/>
      <c r="H129" s="131" t="s">
        <v>110</v>
      </c>
      <c r="I129" s="132">
        <v>1</v>
      </c>
      <c r="J129" s="133">
        <v>1</v>
      </c>
      <c r="K129" s="132">
        <v>1</v>
      </c>
      <c r="L129" s="133">
        <v>1</v>
      </c>
      <c r="M129" s="534"/>
      <c r="N129" s="531"/>
      <c r="O129" s="539"/>
      <c r="P129" s="147">
        <v>0.1</v>
      </c>
      <c r="Q129" s="148"/>
      <c r="R129" s="252" t="s">
        <v>464</v>
      </c>
      <c r="S129" s="107"/>
      <c r="T129" s="107"/>
      <c r="U129" s="107"/>
      <c r="V129" s="107"/>
      <c r="W129" s="107"/>
      <c r="X129" s="107"/>
      <c r="Y129" s="107"/>
      <c r="Z129" s="107"/>
    </row>
    <row r="130" spans="1:26" ht="15.75" customHeight="1">
      <c r="A130" s="107"/>
      <c r="B130" s="534"/>
      <c r="C130" s="531"/>
      <c r="D130" s="531"/>
      <c r="E130" s="531"/>
      <c r="F130" s="531"/>
      <c r="G130" s="539"/>
      <c r="H130" s="131" t="s">
        <v>112</v>
      </c>
      <c r="I130" s="132">
        <v>1</v>
      </c>
      <c r="J130" s="133">
        <v>1</v>
      </c>
      <c r="K130" s="132">
        <v>1</v>
      </c>
      <c r="L130" s="133">
        <v>1</v>
      </c>
      <c r="M130" s="534"/>
      <c r="N130" s="531"/>
      <c r="O130" s="539"/>
      <c r="P130" s="147">
        <v>0.1</v>
      </c>
      <c r="Q130" s="148"/>
      <c r="R130" s="139"/>
      <c r="S130" s="107"/>
      <c r="T130" s="107"/>
      <c r="U130" s="107"/>
      <c r="V130" s="107"/>
      <c r="W130" s="107"/>
      <c r="X130" s="107"/>
      <c r="Y130" s="107"/>
      <c r="Z130" s="107"/>
    </row>
    <row r="131" spans="1:26" ht="15.75" customHeight="1">
      <c r="A131" s="107"/>
      <c r="B131" s="534"/>
      <c r="C131" s="531"/>
      <c r="D131" s="531"/>
      <c r="E131" s="531"/>
      <c r="F131" s="531"/>
      <c r="G131" s="539"/>
      <c r="H131" s="180" t="s">
        <v>109</v>
      </c>
      <c r="I131" s="164">
        <v>1</v>
      </c>
      <c r="J131" s="165">
        <v>1</v>
      </c>
      <c r="K131" s="164">
        <v>1</v>
      </c>
      <c r="L131" s="165">
        <v>1</v>
      </c>
      <c r="M131" s="534"/>
      <c r="N131" s="531"/>
      <c r="O131" s="539"/>
      <c r="P131" s="147">
        <v>0.1</v>
      </c>
      <c r="Q131" s="148"/>
      <c r="R131" s="139"/>
      <c r="S131" s="107"/>
      <c r="T131" s="107"/>
      <c r="U131" s="107"/>
      <c r="V131" s="107"/>
      <c r="W131" s="107"/>
      <c r="X131" s="107"/>
      <c r="Y131" s="107"/>
      <c r="Z131" s="107"/>
    </row>
    <row r="132" spans="1:26" ht="15.75" customHeight="1">
      <c r="A132" s="107"/>
      <c r="B132" s="533" t="s">
        <v>471</v>
      </c>
      <c r="C132" s="530" t="s">
        <v>319</v>
      </c>
      <c r="D132" s="530" t="s">
        <v>432</v>
      </c>
      <c r="E132" s="536">
        <v>228000</v>
      </c>
      <c r="F132" s="543" t="s">
        <v>433</v>
      </c>
      <c r="G132" s="548" t="s">
        <v>424</v>
      </c>
      <c r="H132" s="124" t="s">
        <v>5</v>
      </c>
      <c r="I132" s="125">
        <v>0</v>
      </c>
      <c r="J132" s="126">
        <v>0</v>
      </c>
      <c r="K132" s="125">
        <v>0</v>
      </c>
      <c r="L132" s="126">
        <v>1</v>
      </c>
      <c r="M132" s="601" t="s">
        <v>472</v>
      </c>
      <c r="N132" s="541" t="s">
        <v>473</v>
      </c>
      <c r="O132" s="602">
        <v>46813</v>
      </c>
      <c r="P132" s="190">
        <v>0.1</v>
      </c>
      <c r="Q132" s="191"/>
      <c r="R132" s="149" t="s">
        <v>440</v>
      </c>
      <c r="S132" s="615"/>
      <c r="T132" s="107"/>
      <c r="U132" s="107"/>
      <c r="V132" s="107"/>
      <c r="W132" s="107"/>
      <c r="X132" s="107"/>
      <c r="Y132" s="107"/>
      <c r="Z132" s="107"/>
    </row>
    <row r="133" spans="1:26" ht="15.75" customHeight="1">
      <c r="A133" s="107"/>
      <c r="B133" s="534"/>
      <c r="C133" s="531"/>
      <c r="D133" s="531"/>
      <c r="E133" s="531"/>
      <c r="F133" s="531"/>
      <c r="G133" s="539"/>
      <c r="H133" s="131" t="s">
        <v>324</v>
      </c>
      <c r="I133" s="132">
        <v>0</v>
      </c>
      <c r="J133" s="133">
        <v>1</v>
      </c>
      <c r="K133" s="132">
        <v>0</v>
      </c>
      <c r="L133" s="133">
        <v>1</v>
      </c>
      <c r="M133" s="534"/>
      <c r="N133" s="531"/>
      <c r="O133" s="539"/>
      <c r="P133" s="147">
        <v>0.1</v>
      </c>
      <c r="Q133" s="148"/>
      <c r="R133" s="151" t="s">
        <v>470</v>
      </c>
      <c r="S133" s="495"/>
      <c r="T133" s="107"/>
      <c r="U133" s="107"/>
      <c r="V133" s="107"/>
      <c r="W133" s="107"/>
      <c r="X133" s="107"/>
      <c r="Y133" s="107"/>
      <c r="Z133" s="107"/>
    </row>
    <row r="134" spans="1:26" ht="15.75" customHeight="1">
      <c r="A134" s="107" t="s">
        <v>335</v>
      </c>
      <c r="B134" s="534"/>
      <c r="C134" s="531"/>
      <c r="D134" s="531"/>
      <c r="E134" s="531"/>
      <c r="F134" s="531"/>
      <c r="G134" s="539"/>
      <c r="H134" s="180" t="s">
        <v>326</v>
      </c>
      <c r="I134" s="132">
        <v>1</v>
      </c>
      <c r="J134" s="133">
        <v>1</v>
      </c>
      <c r="K134" s="132">
        <v>1</v>
      </c>
      <c r="L134" s="133">
        <v>1</v>
      </c>
      <c r="M134" s="534"/>
      <c r="N134" s="531"/>
      <c r="O134" s="539"/>
      <c r="P134" s="147">
        <v>0.1</v>
      </c>
      <c r="Q134" s="148"/>
      <c r="R134" s="154" t="s">
        <v>474</v>
      </c>
      <c r="S134" s="495"/>
      <c r="T134" s="107"/>
      <c r="U134" s="107"/>
      <c r="V134" s="107"/>
      <c r="W134" s="107"/>
      <c r="X134" s="107"/>
      <c r="Y134" s="107"/>
      <c r="Z134" s="107"/>
    </row>
    <row r="135" spans="1:26" ht="15.75" customHeight="1">
      <c r="A135" s="107"/>
      <c r="B135" s="534"/>
      <c r="C135" s="531"/>
      <c r="D135" s="531"/>
      <c r="E135" s="531"/>
      <c r="F135" s="531"/>
      <c r="G135" s="539"/>
      <c r="H135" s="131" t="s">
        <v>106</v>
      </c>
      <c r="I135" s="132">
        <v>1</v>
      </c>
      <c r="J135" s="133">
        <v>1</v>
      </c>
      <c r="K135" s="132">
        <v>1</v>
      </c>
      <c r="L135" s="133">
        <v>1</v>
      </c>
      <c r="M135" s="534"/>
      <c r="N135" s="531"/>
      <c r="O135" s="539"/>
      <c r="P135" s="147">
        <v>0.1</v>
      </c>
      <c r="Q135" s="148"/>
      <c r="R135" s="252" t="s">
        <v>464</v>
      </c>
      <c r="S135" s="495"/>
      <c r="T135" s="107"/>
      <c r="U135" s="107"/>
      <c r="V135" s="107"/>
      <c r="W135" s="107"/>
      <c r="X135" s="107"/>
      <c r="Y135" s="107"/>
      <c r="Z135" s="107"/>
    </row>
    <row r="136" spans="1:26" ht="15.75" customHeight="1">
      <c r="A136" s="107"/>
      <c r="B136" s="534"/>
      <c r="C136" s="531"/>
      <c r="D136" s="531"/>
      <c r="E136" s="531"/>
      <c r="F136" s="531"/>
      <c r="G136" s="539"/>
      <c r="H136" s="131" t="s">
        <v>104</v>
      </c>
      <c r="I136" s="132">
        <v>1</v>
      </c>
      <c r="J136" s="133">
        <v>1</v>
      </c>
      <c r="K136" s="132">
        <v>1</v>
      </c>
      <c r="L136" s="133">
        <v>1</v>
      </c>
      <c r="M136" s="534"/>
      <c r="N136" s="531"/>
      <c r="O136" s="539"/>
      <c r="P136" s="147">
        <v>0.1</v>
      </c>
      <c r="Q136" s="148"/>
      <c r="R136" s="253" t="s">
        <v>475</v>
      </c>
      <c r="S136" s="495"/>
      <c r="T136" s="107"/>
      <c r="U136" s="107"/>
      <c r="V136" s="107"/>
      <c r="W136" s="107"/>
      <c r="X136" s="107"/>
      <c r="Y136" s="107"/>
      <c r="Z136" s="107"/>
    </row>
    <row r="137" spans="1:26" ht="15.75" customHeight="1">
      <c r="A137" s="107"/>
      <c r="B137" s="533" t="s">
        <v>476</v>
      </c>
      <c r="C137" s="530" t="s">
        <v>331</v>
      </c>
      <c r="D137" s="530" t="s">
        <v>432</v>
      </c>
      <c r="E137" s="536">
        <v>230000</v>
      </c>
      <c r="F137" s="537" t="s">
        <v>433</v>
      </c>
      <c r="G137" s="538" t="s">
        <v>424</v>
      </c>
      <c r="H137" s="124" t="s">
        <v>5</v>
      </c>
      <c r="I137" s="125">
        <v>0</v>
      </c>
      <c r="J137" s="126">
        <v>0</v>
      </c>
      <c r="K137" s="125">
        <v>0</v>
      </c>
      <c r="L137" s="126">
        <v>1</v>
      </c>
      <c r="M137" s="586" t="s">
        <v>477</v>
      </c>
      <c r="N137" s="541" t="s">
        <v>478</v>
      </c>
      <c r="O137" s="602">
        <v>46813</v>
      </c>
      <c r="P137" s="190">
        <v>0.1</v>
      </c>
      <c r="Q137" s="191"/>
      <c r="R137" s="205" t="s">
        <v>440</v>
      </c>
      <c r="S137" s="615"/>
      <c r="T137" s="107"/>
      <c r="U137" s="107"/>
      <c r="V137" s="107"/>
      <c r="W137" s="107"/>
      <c r="X137" s="107"/>
      <c r="Y137" s="107"/>
      <c r="Z137" s="107"/>
    </row>
    <row r="138" spans="1:26" ht="15.75" customHeight="1">
      <c r="A138" s="107"/>
      <c r="B138" s="534"/>
      <c r="C138" s="531"/>
      <c r="D138" s="531"/>
      <c r="E138" s="531"/>
      <c r="F138" s="531"/>
      <c r="G138" s="539"/>
      <c r="H138" s="131" t="s">
        <v>324</v>
      </c>
      <c r="I138" s="132">
        <v>0</v>
      </c>
      <c r="J138" s="133">
        <v>1</v>
      </c>
      <c r="K138" s="132">
        <v>1</v>
      </c>
      <c r="L138" s="133">
        <v>1</v>
      </c>
      <c r="M138" s="534"/>
      <c r="N138" s="531"/>
      <c r="O138" s="539"/>
      <c r="P138" s="147">
        <v>0.1</v>
      </c>
      <c r="Q138" s="148"/>
      <c r="R138" s="151" t="s">
        <v>479</v>
      </c>
      <c r="S138" s="495"/>
      <c r="T138" s="107"/>
      <c r="U138" s="107"/>
      <c r="V138" s="107"/>
      <c r="W138" s="107"/>
      <c r="X138" s="107"/>
      <c r="Y138" s="107"/>
      <c r="Z138" s="107"/>
    </row>
    <row r="139" spans="1:26" ht="15.75" customHeight="1">
      <c r="A139" s="107" t="s">
        <v>453</v>
      </c>
      <c r="B139" s="534"/>
      <c r="C139" s="531"/>
      <c r="D139" s="531"/>
      <c r="E139" s="531"/>
      <c r="F139" s="531"/>
      <c r="G139" s="539"/>
      <c r="H139" s="180" t="s">
        <v>326</v>
      </c>
      <c r="I139" s="132">
        <v>1</v>
      </c>
      <c r="J139" s="133">
        <v>1</v>
      </c>
      <c r="K139" s="132">
        <v>1</v>
      </c>
      <c r="L139" s="133">
        <v>1</v>
      </c>
      <c r="M139" s="534"/>
      <c r="N139" s="531"/>
      <c r="O139" s="539"/>
      <c r="P139" s="147">
        <v>0.1</v>
      </c>
      <c r="Q139" s="148"/>
      <c r="R139" s="139"/>
      <c r="S139" s="495"/>
      <c r="T139" s="107"/>
      <c r="U139" s="107"/>
      <c r="V139" s="107"/>
      <c r="W139" s="107"/>
      <c r="X139" s="107"/>
      <c r="Y139" s="107"/>
      <c r="Z139" s="107"/>
    </row>
    <row r="140" spans="1:26" ht="15.75" customHeight="1">
      <c r="A140" s="107"/>
      <c r="B140" s="534"/>
      <c r="C140" s="531"/>
      <c r="D140" s="531"/>
      <c r="E140" s="531"/>
      <c r="F140" s="531"/>
      <c r="G140" s="539"/>
      <c r="H140" s="131" t="s">
        <v>106</v>
      </c>
      <c r="I140" s="132">
        <v>1</v>
      </c>
      <c r="J140" s="133">
        <v>1</v>
      </c>
      <c r="K140" s="132">
        <v>1</v>
      </c>
      <c r="L140" s="133">
        <v>1</v>
      </c>
      <c r="M140" s="534"/>
      <c r="N140" s="531"/>
      <c r="O140" s="539"/>
      <c r="P140" s="147">
        <v>0.1</v>
      </c>
      <c r="Q140" s="148"/>
      <c r="R140" s="139"/>
      <c r="S140" s="495"/>
      <c r="T140" s="107"/>
      <c r="U140" s="107"/>
      <c r="V140" s="107"/>
      <c r="W140" s="107"/>
      <c r="X140" s="107"/>
      <c r="Y140" s="107"/>
      <c r="Z140" s="107"/>
    </row>
    <row r="141" spans="1:26" ht="15.75" customHeight="1">
      <c r="A141" s="107"/>
      <c r="B141" s="535"/>
      <c r="C141" s="532"/>
      <c r="D141" s="532"/>
      <c r="E141" s="532"/>
      <c r="F141" s="532"/>
      <c r="G141" s="540"/>
      <c r="H141" s="201" t="s">
        <v>109</v>
      </c>
      <c r="I141" s="245">
        <v>1</v>
      </c>
      <c r="J141" s="246">
        <v>1</v>
      </c>
      <c r="K141" s="245">
        <v>1</v>
      </c>
      <c r="L141" s="246">
        <v>1</v>
      </c>
      <c r="M141" s="535"/>
      <c r="N141" s="532"/>
      <c r="O141" s="540"/>
      <c r="P141" s="147">
        <v>0.1</v>
      </c>
      <c r="Q141" s="148"/>
      <c r="R141" s="254" t="s">
        <v>464</v>
      </c>
      <c r="S141" s="495"/>
      <c r="T141" s="107"/>
      <c r="U141" s="107"/>
      <c r="V141" s="107"/>
      <c r="W141" s="107"/>
      <c r="X141" s="107"/>
      <c r="Y141" s="107"/>
      <c r="Z141" s="107"/>
    </row>
    <row r="142" spans="1:26" ht="15.75" customHeight="1">
      <c r="A142" s="107"/>
      <c r="B142" s="533" t="s">
        <v>480</v>
      </c>
      <c r="C142" s="530" t="s">
        <v>364</v>
      </c>
      <c r="D142" s="530" t="s">
        <v>432</v>
      </c>
      <c r="E142" s="545">
        <v>217000</v>
      </c>
      <c r="F142" s="546" t="s">
        <v>433</v>
      </c>
      <c r="G142" s="547" t="s">
        <v>424</v>
      </c>
      <c r="H142" s="124" t="s">
        <v>103</v>
      </c>
      <c r="I142" s="125">
        <v>0</v>
      </c>
      <c r="J142" s="126">
        <v>0</v>
      </c>
      <c r="K142" s="125">
        <v>0</v>
      </c>
      <c r="L142" s="126">
        <v>0</v>
      </c>
      <c r="M142" s="601" t="s">
        <v>467</v>
      </c>
      <c r="N142" s="541" t="s">
        <v>481</v>
      </c>
      <c r="O142" s="602">
        <v>46784</v>
      </c>
      <c r="P142" s="255">
        <v>0.1</v>
      </c>
      <c r="Q142" s="191"/>
      <c r="R142" s="216" t="s">
        <v>482</v>
      </c>
      <c r="S142" s="240"/>
      <c r="T142" s="107"/>
      <c r="U142" s="107"/>
      <c r="V142" s="107"/>
      <c r="W142" s="107"/>
      <c r="X142" s="107"/>
      <c r="Y142" s="107"/>
      <c r="Z142" s="107"/>
    </row>
    <row r="143" spans="1:26" ht="15.75" customHeight="1">
      <c r="A143" s="107" t="s">
        <v>453</v>
      </c>
      <c r="B143" s="534"/>
      <c r="C143" s="531"/>
      <c r="D143" s="531"/>
      <c r="E143" s="531"/>
      <c r="F143" s="531"/>
      <c r="G143" s="531"/>
      <c r="H143" s="131" t="s">
        <v>110</v>
      </c>
      <c r="I143" s="132">
        <v>0</v>
      </c>
      <c r="J143" s="133">
        <v>1</v>
      </c>
      <c r="K143" s="132">
        <v>0</v>
      </c>
      <c r="L143" s="133">
        <v>0</v>
      </c>
      <c r="M143" s="534"/>
      <c r="N143" s="531"/>
      <c r="O143" s="539"/>
      <c r="P143" s="157">
        <v>0.12</v>
      </c>
      <c r="Q143" s="148"/>
      <c r="R143" s="151" t="s">
        <v>483</v>
      </c>
      <c r="S143" s="240"/>
      <c r="T143" s="107"/>
      <c r="U143" s="107"/>
      <c r="V143" s="107"/>
      <c r="W143" s="107"/>
      <c r="X143" s="107"/>
      <c r="Y143" s="107"/>
      <c r="Z143" s="107"/>
    </row>
    <row r="144" spans="1:26" ht="15.75" customHeight="1">
      <c r="A144" s="107"/>
      <c r="B144" s="534"/>
      <c r="C144" s="531"/>
      <c r="D144" s="531"/>
      <c r="E144" s="531"/>
      <c r="F144" s="531"/>
      <c r="G144" s="531"/>
      <c r="H144" s="131" t="s">
        <v>112</v>
      </c>
      <c r="I144" s="132">
        <v>0</v>
      </c>
      <c r="J144" s="133">
        <v>1</v>
      </c>
      <c r="K144" s="132">
        <v>0</v>
      </c>
      <c r="L144" s="133">
        <v>1</v>
      </c>
      <c r="M144" s="534"/>
      <c r="N144" s="531"/>
      <c r="O144" s="539"/>
      <c r="P144" s="147">
        <v>0.15</v>
      </c>
      <c r="Q144" s="148"/>
      <c r="R144" s="250" t="s">
        <v>484</v>
      </c>
      <c r="S144" s="240"/>
      <c r="T144" s="107"/>
      <c r="U144" s="107"/>
      <c r="V144" s="107"/>
      <c r="W144" s="107"/>
      <c r="X144" s="107"/>
      <c r="Y144" s="107"/>
      <c r="Z144" s="107"/>
    </row>
    <row r="145" spans="1:26" ht="15.75" customHeight="1">
      <c r="A145" s="107"/>
      <c r="B145" s="535"/>
      <c r="C145" s="532"/>
      <c r="D145" s="532"/>
      <c r="E145" s="532"/>
      <c r="F145" s="532"/>
      <c r="G145" s="532"/>
      <c r="H145" s="143" t="s">
        <v>109</v>
      </c>
      <c r="I145" s="202">
        <v>1</v>
      </c>
      <c r="J145" s="203">
        <v>1</v>
      </c>
      <c r="K145" s="202">
        <v>1</v>
      </c>
      <c r="L145" s="203">
        <v>1</v>
      </c>
      <c r="M145" s="535"/>
      <c r="N145" s="532"/>
      <c r="O145" s="540"/>
      <c r="P145" s="195">
        <v>0.15</v>
      </c>
      <c r="Q145" s="158"/>
      <c r="R145" s="253" t="s">
        <v>339</v>
      </c>
      <c r="S145" s="240"/>
      <c r="T145" s="107"/>
      <c r="U145" s="107"/>
      <c r="V145" s="107"/>
      <c r="W145" s="107"/>
      <c r="X145" s="107"/>
      <c r="Y145" s="107"/>
      <c r="Z145" s="107"/>
    </row>
    <row r="146" spans="1:26" ht="15.75" customHeight="1">
      <c r="A146" s="107"/>
      <c r="B146" s="533" t="s">
        <v>485</v>
      </c>
      <c r="C146" s="530" t="s">
        <v>364</v>
      </c>
      <c r="D146" s="530" t="s">
        <v>432</v>
      </c>
      <c r="E146" s="545">
        <v>212000</v>
      </c>
      <c r="F146" s="546" t="s">
        <v>433</v>
      </c>
      <c r="G146" s="547" t="s">
        <v>424</v>
      </c>
      <c r="H146" s="124" t="s">
        <v>103</v>
      </c>
      <c r="I146" s="125">
        <v>0</v>
      </c>
      <c r="J146" s="126">
        <v>1</v>
      </c>
      <c r="K146" s="125">
        <v>0</v>
      </c>
      <c r="L146" s="126">
        <v>1</v>
      </c>
      <c r="M146" s="603">
        <v>46844</v>
      </c>
      <c r="N146" s="541" t="s">
        <v>486</v>
      </c>
      <c r="O146" s="602">
        <v>46844</v>
      </c>
      <c r="P146" s="256">
        <v>0.1</v>
      </c>
      <c r="Q146" s="191"/>
      <c r="R146" s="216" t="s">
        <v>487</v>
      </c>
      <c r="S146" s="240"/>
      <c r="T146" s="107"/>
      <c r="U146" s="107"/>
      <c r="V146" s="107"/>
      <c r="W146" s="107"/>
      <c r="X146" s="107"/>
      <c r="Y146" s="107"/>
      <c r="Z146" s="107"/>
    </row>
    <row r="147" spans="1:26" ht="15.75" customHeight="1">
      <c r="A147" s="107"/>
      <c r="B147" s="534"/>
      <c r="C147" s="531"/>
      <c r="D147" s="531"/>
      <c r="E147" s="531"/>
      <c r="F147" s="531"/>
      <c r="G147" s="531"/>
      <c r="H147" s="210" t="s">
        <v>488</v>
      </c>
      <c r="I147" s="132">
        <v>1</v>
      </c>
      <c r="J147" s="133">
        <v>1</v>
      </c>
      <c r="K147" s="132">
        <v>0</v>
      </c>
      <c r="L147" s="133">
        <v>1</v>
      </c>
      <c r="M147" s="534"/>
      <c r="N147" s="531"/>
      <c r="O147" s="539"/>
      <c r="P147" s="157">
        <v>0.1</v>
      </c>
      <c r="Q147" s="148"/>
      <c r="R147" s="151" t="s">
        <v>483</v>
      </c>
      <c r="S147" s="240"/>
      <c r="T147" s="107"/>
      <c r="U147" s="107"/>
      <c r="V147" s="107"/>
      <c r="W147" s="107"/>
      <c r="X147" s="107"/>
      <c r="Y147" s="107"/>
      <c r="Z147" s="107"/>
    </row>
    <row r="148" spans="1:26" ht="15.75" customHeight="1">
      <c r="A148" s="107"/>
      <c r="B148" s="534"/>
      <c r="C148" s="531"/>
      <c r="D148" s="531"/>
      <c r="E148" s="531"/>
      <c r="F148" s="531"/>
      <c r="G148" s="531"/>
      <c r="H148" s="131" t="s">
        <v>489</v>
      </c>
      <c r="I148" s="132">
        <v>1</v>
      </c>
      <c r="J148" s="133">
        <v>1</v>
      </c>
      <c r="K148" s="132">
        <v>0</v>
      </c>
      <c r="L148" s="133">
        <v>1</v>
      </c>
      <c r="M148" s="534"/>
      <c r="N148" s="531"/>
      <c r="O148" s="539"/>
      <c r="P148" s="147">
        <v>0.15</v>
      </c>
      <c r="Q148" s="148"/>
      <c r="R148" s="250" t="s">
        <v>490</v>
      </c>
      <c r="S148" s="240"/>
      <c r="T148" s="107"/>
      <c r="U148" s="107"/>
      <c r="V148" s="107"/>
      <c r="W148" s="107"/>
      <c r="X148" s="107"/>
      <c r="Y148" s="107"/>
      <c r="Z148" s="107"/>
    </row>
    <row r="149" spans="1:26" ht="15.75" customHeight="1">
      <c r="A149" s="107" t="s">
        <v>335</v>
      </c>
      <c r="B149" s="534"/>
      <c r="C149" s="531"/>
      <c r="D149" s="531"/>
      <c r="E149" s="531"/>
      <c r="F149" s="531"/>
      <c r="G149" s="531"/>
      <c r="H149" s="131" t="s">
        <v>112</v>
      </c>
      <c r="I149" s="132">
        <v>1</v>
      </c>
      <c r="J149" s="133">
        <v>1</v>
      </c>
      <c r="K149" s="132">
        <v>1</v>
      </c>
      <c r="L149" s="133">
        <v>1</v>
      </c>
      <c r="M149" s="534"/>
      <c r="N149" s="531"/>
      <c r="O149" s="539"/>
      <c r="P149" s="147">
        <v>0.15</v>
      </c>
      <c r="Q149" s="148"/>
      <c r="R149" s="139"/>
      <c r="S149" s="240"/>
      <c r="T149" s="107"/>
      <c r="U149" s="107"/>
      <c r="V149" s="107"/>
      <c r="W149" s="107"/>
      <c r="X149" s="107"/>
      <c r="Y149" s="107"/>
      <c r="Z149" s="107"/>
    </row>
    <row r="150" spans="1:26" ht="15.75" customHeight="1">
      <c r="A150" s="107"/>
      <c r="B150" s="534"/>
      <c r="C150" s="531"/>
      <c r="D150" s="531"/>
      <c r="E150" s="531"/>
      <c r="F150" s="531"/>
      <c r="G150" s="531"/>
      <c r="H150" s="131" t="s">
        <v>109</v>
      </c>
      <c r="I150" s="132">
        <v>1</v>
      </c>
      <c r="J150" s="133">
        <v>1</v>
      </c>
      <c r="K150" s="132">
        <v>1</v>
      </c>
      <c r="L150" s="133">
        <v>1</v>
      </c>
      <c r="M150" s="534"/>
      <c r="N150" s="531"/>
      <c r="O150" s="539"/>
      <c r="P150" s="147">
        <v>0.15</v>
      </c>
      <c r="Q150" s="148"/>
      <c r="R150" s="250" t="s">
        <v>339</v>
      </c>
      <c r="S150" s="240"/>
      <c r="T150" s="107"/>
      <c r="U150" s="107"/>
      <c r="V150" s="107"/>
      <c r="W150" s="107"/>
      <c r="X150" s="107"/>
      <c r="Y150" s="107"/>
      <c r="Z150" s="107"/>
    </row>
    <row r="151" spans="1:26" ht="15.75" customHeight="1">
      <c r="A151" s="107"/>
      <c r="B151" s="534"/>
      <c r="C151" s="531"/>
      <c r="D151" s="531"/>
      <c r="E151" s="531"/>
      <c r="F151" s="531"/>
      <c r="G151" s="531"/>
      <c r="H151" s="131" t="s">
        <v>491</v>
      </c>
      <c r="I151" s="132">
        <v>1</v>
      </c>
      <c r="J151" s="133">
        <v>1</v>
      </c>
      <c r="K151" s="132">
        <v>1</v>
      </c>
      <c r="L151" s="133">
        <v>1</v>
      </c>
      <c r="M151" s="534"/>
      <c r="N151" s="531"/>
      <c r="O151" s="539"/>
      <c r="P151" s="147">
        <v>0.15</v>
      </c>
      <c r="Q151" s="148"/>
      <c r="R151" s="206"/>
      <c r="S151" s="240"/>
      <c r="T151" s="107"/>
      <c r="U151" s="107"/>
      <c r="V151" s="107"/>
      <c r="W151" s="107"/>
      <c r="X151" s="107"/>
      <c r="Y151" s="107"/>
      <c r="Z151" s="107"/>
    </row>
    <row r="152" spans="1:26" ht="15.75" customHeight="1">
      <c r="A152" s="107"/>
      <c r="B152" s="535"/>
      <c r="C152" s="532"/>
      <c r="D152" s="532"/>
      <c r="E152" s="532"/>
      <c r="F152" s="532"/>
      <c r="G152" s="532"/>
      <c r="H152" s="143" t="s">
        <v>492</v>
      </c>
      <c r="I152" s="202">
        <v>1</v>
      </c>
      <c r="J152" s="203">
        <v>1</v>
      </c>
      <c r="K152" s="202">
        <v>1</v>
      </c>
      <c r="L152" s="203">
        <v>1</v>
      </c>
      <c r="M152" s="535"/>
      <c r="N152" s="532"/>
      <c r="O152" s="540"/>
      <c r="P152" s="195">
        <v>0.05</v>
      </c>
      <c r="Q152" s="158"/>
      <c r="R152" s="257" t="s">
        <v>493</v>
      </c>
      <c r="S152" s="240"/>
      <c r="T152" s="107"/>
      <c r="U152" s="107"/>
      <c r="V152" s="107"/>
      <c r="W152" s="107"/>
      <c r="X152" s="107"/>
      <c r="Y152" s="107"/>
      <c r="Z152" s="107"/>
    </row>
    <row r="153" spans="1:26" ht="15.75" customHeight="1">
      <c r="A153" s="107"/>
      <c r="B153" s="549" t="s">
        <v>494</v>
      </c>
      <c r="C153" s="550" t="s">
        <v>364</v>
      </c>
      <c r="D153" s="550" t="s">
        <v>432</v>
      </c>
      <c r="E153" s="551">
        <v>203000</v>
      </c>
      <c r="F153" s="552" t="s">
        <v>433</v>
      </c>
      <c r="G153" s="553" t="s">
        <v>424</v>
      </c>
      <c r="H153" s="131" t="s">
        <v>5</v>
      </c>
      <c r="I153" s="132">
        <v>0</v>
      </c>
      <c r="J153" s="133">
        <v>0</v>
      </c>
      <c r="K153" s="132">
        <v>0</v>
      </c>
      <c r="L153" s="133">
        <v>0</v>
      </c>
      <c r="M153" s="604">
        <v>46905</v>
      </c>
      <c r="N153" s="570" t="s">
        <v>495</v>
      </c>
      <c r="O153" s="600">
        <v>46905</v>
      </c>
      <c r="P153" s="147">
        <v>0.15</v>
      </c>
      <c r="Q153" s="148"/>
      <c r="R153" s="216" t="s">
        <v>469</v>
      </c>
      <c r="S153" s="240"/>
      <c r="T153" s="107"/>
      <c r="U153" s="107"/>
      <c r="V153" s="107"/>
      <c r="W153" s="107"/>
      <c r="X153" s="107"/>
      <c r="Y153" s="107"/>
      <c r="Z153" s="107"/>
    </row>
    <row r="154" spans="1:26" ht="15.75" customHeight="1">
      <c r="A154" s="107"/>
      <c r="B154" s="534"/>
      <c r="C154" s="531"/>
      <c r="D154" s="531"/>
      <c r="E154" s="531"/>
      <c r="F154" s="531"/>
      <c r="G154" s="531"/>
      <c r="H154" s="131" t="s">
        <v>103</v>
      </c>
      <c r="I154" s="132">
        <v>0</v>
      </c>
      <c r="J154" s="133">
        <v>0</v>
      </c>
      <c r="K154" s="132">
        <v>0</v>
      </c>
      <c r="L154" s="133">
        <v>0</v>
      </c>
      <c r="M154" s="534"/>
      <c r="N154" s="531"/>
      <c r="O154" s="539"/>
      <c r="P154" s="147">
        <v>0.2</v>
      </c>
      <c r="Q154" s="148"/>
      <c r="R154" s="151" t="s">
        <v>496</v>
      </c>
      <c r="S154" s="240"/>
      <c r="T154" s="107"/>
      <c r="U154" s="107"/>
      <c r="V154" s="107"/>
      <c r="W154" s="107"/>
      <c r="X154" s="107"/>
      <c r="Y154" s="107"/>
      <c r="Z154" s="107"/>
    </row>
    <row r="155" spans="1:26" ht="15.75" customHeight="1">
      <c r="A155" s="107" t="s">
        <v>335</v>
      </c>
      <c r="B155" s="534"/>
      <c r="C155" s="531"/>
      <c r="D155" s="531"/>
      <c r="E155" s="531"/>
      <c r="F155" s="531"/>
      <c r="G155" s="531"/>
      <c r="H155" s="210" t="s">
        <v>488</v>
      </c>
      <c r="I155" s="132">
        <v>0</v>
      </c>
      <c r="J155" s="133">
        <v>1</v>
      </c>
      <c r="K155" s="132">
        <v>0</v>
      </c>
      <c r="L155" s="133">
        <v>1</v>
      </c>
      <c r="M155" s="534"/>
      <c r="N155" s="531"/>
      <c r="O155" s="539"/>
      <c r="P155" s="147">
        <v>0.2</v>
      </c>
      <c r="Q155" s="148"/>
      <c r="R155" s="250" t="s">
        <v>497</v>
      </c>
      <c r="S155" s="240"/>
      <c r="T155" s="107"/>
      <c r="U155" s="107"/>
      <c r="V155" s="107"/>
      <c r="W155" s="107"/>
      <c r="X155" s="107"/>
      <c r="Y155" s="107"/>
      <c r="Z155" s="107"/>
    </row>
    <row r="156" spans="1:26" ht="15.75" customHeight="1">
      <c r="A156" s="107"/>
      <c r="B156" s="534"/>
      <c r="C156" s="531"/>
      <c r="D156" s="531"/>
      <c r="E156" s="531"/>
      <c r="F156" s="531"/>
      <c r="G156" s="531"/>
      <c r="H156" s="131" t="s">
        <v>489</v>
      </c>
      <c r="I156" s="132">
        <v>1</v>
      </c>
      <c r="J156" s="133">
        <v>1</v>
      </c>
      <c r="K156" s="132">
        <v>1</v>
      </c>
      <c r="L156" s="133">
        <v>1</v>
      </c>
      <c r="M156" s="534"/>
      <c r="N156" s="531"/>
      <c r="O156" s="539"/>
      <c r="P156" s="147">
        <v>0.2</v>
      </c>
      <c r="Q156" s="148"/>
      <c r="R156" s="139"/>
      <c r="S156" s="240"/>
      <c r="T156" s="107"/>
      <c r="U156" s="107"/>
      <c r="V156" s="107"/>
      <c r="W156" s="107"/>
      <c r="X156" s="107"/>
      <c r="Y156" s="107"/>
      <c r="Z156" s="107"/>
    </row>
    <row r="157" spans="1:26" ht="15.75" customHeight="1">
      <c r="A157" s="107"/>
      <c r="B157" s="534"/>
      <c r="C157" s="531"/>
      <c r="D157" s="531"/>
      <c r="E157" s="531"/>
      <c r="F157" s="531"/>
      <c r="G157" s="531"/>
      <c r="H157" s="131" t="s">
        <v>112</v>
      </c>
      <c r="I157" s="132">
        <v>1</v>
      </c>
      <c r="J157" s="133">
        <v>1</v>
      </c>
      <c r="K157" s="132">
        <v>1</v>
      </c>
      <c r="L157" s="133">
        <v>1</v>
      </c>
      <c r="M157" s="534"/>
      <c r="N157" s="531"/>
      <c r="O157" s="539"/>
      <c r="P157" s="147">
        <v>0.2</v>
      </c>
      <c r="Q157" s="148"/>
      <c r="R157" s="250" t="s">
        <v>339</v>
      </c>
      <c r="S157" s="240"/>
      <c r="T157" s="107"/>
      <c r="U157" s="107"/>
      <c r="V157" s="107"/>
      <c r="W157" s="107"/>
      <c r="X157" s="107"/>
      <c r="Y157" s="107"/>
      <c r="Z157" s="107"/>
    </row>
    <row r="158" spans="1:26" ht="15.75" customHeight="1">
      <c r="A158" s="107"/>
      <c r="B158" s="535"/>
      <c r="C158" s="532"/>
      <c r="D158" s="532"/>
      <c r="E158" s="532"/>
      <c r="F158" s="532"/>
      <c r="G158" s="532"/>
      <c r="H158" s="131" t="s">
        <v>492</v>
      </c>
      <c r="I158" s="132">
        <v>0</v>
      </c>
      <c r="J158" s="133">
        <v>1</v>
      </c>
      <c r="K158" s="132">
        <v>1</v>
      </c>
      <c r="L158" s="133">
        <v>1</v>
      </c>
      <c r="M158" s="534"/>
      <c r="N158" s="531"/>
      <c r="O158" s="539"/>
      <c r="P158" s="147">
        <v>0.05</v>
      </c>
      <c r="Q158" s="148"/>
      <c r="R158" s="257" t="s">
        <v>493</v>
      </c>
      <c r="S158" s="240"/>
      <c r="T158" s="107"/>
      <c r="U158" s="107"/>
      <c r="V158" s="107"/>
      <c r="W158" s="107"/>
      <c r="X158" s="107"/>
      <c r="Y158" s="107"/>
      <c r="Z158" s="107"/>
    </row>
    <row r="159" spans="1:26" ht="15.75" customHeight="1">
      <c r="A159" s="107"/>
      <c r="B159" s="533" t="s">
        <v>498</v>
      </c>
      <c r="C159" s="530" t="s">
        <v>364</v>
      </c>
      <c r="D159" s="530" t="s">
        <v>432</v>
      </c>
      <c r="E159" s="536">
        <v>207000</v>
      </c>
      <c r="F159" s="537" t="s">
        <v>499</v>
      </c>
      <c r="G159" s="554" t="s">
        <v>424</v>
      </c>
      <c r="H159" s="124" t="s">
        <v>321</v>
      </c>
      <c r="I159" s="125">
        <v>0</v>
      </c>
      <c r="J159" s="126">
        <v>0</v>
      </c>
      <c r="K159" s="125">
        <v>0</v>
      </c>
      <c r="L159" s="126">
        <v>0</v>
      </c>
      <c r="M159" s="601">
        <v>46722</v>
      </c>
      <c r="N159" s="541" t="s">
        <v>500</v>
      </c>
      <c r="O159" s="605">
        <v>46935</v>
      </c>
      <c r="P159" s="190">
        <v>0.09</v>
      </c>
      <c r="Q159" s="258">
        <v>0.02</v>
      </c>
      <c r="R159" s="216" t="s">
        <v>501</v>
      </c>
      <c r="S159" s="240"/>
      <c r="T159" s="107"/>
      <c r="U159" s="107"/>
      <c r="V159" s="107"/>
      <c r="W159" s="107"/>
      <c r="X159" s="107"/>
      <c r="Y159" s="107"/>
      <c r="Z159" s="107"/>
    </row>
    <row r="160" spans="1:26" ht="15.75" customHeight="1">
      <c r="A160" s="107"/>
      <c r="B160" s="534"/>
      <c r="C160" s="531"/>
      <c r="D160" s="531"/>
      <c r="E160" s="531"/>
      <c r="F160" s="531"/>
      <c r="G160" s="555"/>
      <c r="H160" s="131" t="s">
        <v>103</v>
      </c>
      <c r="I160" s="132">
        <v>0</v>
      </c>
      <c r="J160" s="133">
        <v>0</v>
      </c>
      <c r="K160" s="132">
        <v>0</v>
      </c>
      <c r="L160" s="133">
        <v>0</v>
      </c>
      <c r="M160" s="534"/>
      <c r="N160" s="531"/>
      <c r="O160" s="555"/>
      <c r="P160" s="147">
        <v>0.09</v>
      </c>
      <c r="Q160" s="259">
        <v>0.02</v>
      </c>
      <c r="R160" s="151" t="s">
        <v>502</v>
      </c>
      <c r="S160" s="240"/>
      <c r="T160" s="107"/>
      <c r="U160" s="107"/>
      <c r="V160" s="107"/>
      <c r="W160" s="107"/>
      <c r="X160" s="107"/>
      <c r="Y160" s="107"/>
      <c r="Z160" s="107"/>
    </row>
    <row r="161" spans="1:26" ht="15.75" customHeight="1">
      <c r="A161" s="107"/>
      <c r="B161" s="534"/>
      <c r="C161" s="531"/>
      <c r="D161" s="531"/>
      <c r="E161" s="531"/>
      <c r="F161" s="531"/>
      <c r="G161" s="555"/>
      <c r="H161" s="131" t="s">
        <v>105</v>
      </c>
      <c r="I161" s="132">
        <v>0</v>
      </c>
      <c r="J161" s="133">
        <v>1</v>
      </c>
      <c r="K161" s="132">
        <v>0</v>
      </c>
      <c r="L161" s="133">
        <v>1</v>
      </c>
      <c r="M161" s="534"/>
      <c r="N161" s="531"/>
      <c r="O161" s="555"/>
      <c r="P161" s="147">
        <v>0.09</v>
      </c>
      <c r="Q161" s="259">
        <v>0.02</v>
      </c>
      <c r="R161" s="606" t="s">
        <v>503</v>
      </c>
      <c r="S161" s="240"/>
      <c r="T161" s="107"/>
      <c r="U161" s="107"/>
      <c r="V161" s="107"/>
      <c r="W161" s="107"/>
      <c r="X161" s="107"/>
      <c r="Y161" s="107"/>
      <c r="Z161" s="107"/>
    </row>
    <row r="162" spans="1:26" ht="15.75" customHeight="1">
      <c r="A162" s="107"/>
      <c r="B162" s="534"/>
      <c r="C162" s="531"/>
      <c r="D162" s="531"/>
      <c r="E162" s="531"/>
      <c r="F162" s="531"/>
      <c r="G162" s="555"/>
      <c r="H162" s="131" t="s">
        <v>450</v>
      </c>
      <c r="I162" s="132">
        <v>0</v>
      </c>
      <c r="J162" s="133">
        <v>1</v>
      </c>
      <c r="K162" s="132">
        <v>1</v>
      </c>
      <c r="L162" s="133">
        <v>1</v>
      </c>
      <c r="M162" s="534"/>
      <c r="N162" s="531"/>
      <c r="O162" s="555"/>
      <c r="P162" s="147">
        <v>0.09</v>
      </c>
      <c r="Q162" s="259">
        <v>0.02</v>
      </c>
      <c r="R162" s="576"/>
      <c r="S162" s="240"/>
      <c r="T162" s="107"/>
      <c r="U162" s="107"/>
      <c r="V162" s="107"/>
      <c r="W162" s="107"/>
      <c r="X162" s="107"/>
      <c r="Y162" s="107"/>
      <c r="Z162" s="107"/>
    </row>
    <row r="163" spans="1:26" ht="15.75" customHeight="1">
      <c r="A163" s="107"/>
      <c r="B163" s="535"/>
      <c r="C163" s="532"/>
      <c r="D163" s="532"/>
      <c r="E163" s="532"/>
      <c r="F163" s="532"/>
      <c r="G163" s="556"/>
      <c r="H163" s="143" t="s">
        <v>327</v>
      </c>
      <c r="I163" s="202">
        <v>0</v>
      </c>
      <c r="J163" s="203">
        <v>1</v>
      </c>
      <c r="K163" s="202">
        <v>1</v>
      </c>
      <c r="L163" s="203">
        <v>1</v>
      </c>
      <c r="M163" s="535"/>
      <c r="N163" s="532"/>
      <c r="O163" s="556"/>
      <c r="P163" s="195">
        <v>0.09</v>
      </c>
      <c r="Q163" s="260">
        <v>0.02</v>
      </c>
      <c r="R163" s="253" t="s">
        <v>339</v>
      </c>
      <c r="S163" s="240"/>
      <c r="T163" s="107"/>
      <c r="U163" s="107"/>
      <c r="V163" s="107"/>
      <c r="W163" s="107"/>
      <c r="X163" s="107"/>
      <c r="Y163" s="107"/>
      <c r="Z163" s="107"/>
    </row>
    <row r="164" spans="1:26" ht="15.75" customHeight="1">
      <c r="A164" s="107"/>
      <c r="B164" s="533" t="s">
        <v>504</v>
      </c>
      <c r="C164" s="530" t="s">
        <v>319</v>
      </c>
      <c r="D164" s="530" t="s">
        <v>432</v>
      </c>
      <c r="E164" s="536">
        <v>208000</v>
      </c>
      <c r="F164" s="537" t="s">
        <v>433</v>
      </c>
      <c r="G164" s="538" t="s">
        <v>424</v>
      </c>
      <c r="H164" s="124" t="s">
        <v>103</v>
      </c>
      <c r="I164" s="125">
        <v>0</v>
      </c>
      <c r="J164" s="126">
        <v>1</v>
      </c>
      <c r="K164" s="125">
        <v>0</v>
      </c>
      <c r="L164" s="126">
        <v>1</v>
      </c>
      <c r="M164" s="601" t="s">
        <v>111</v>
      </c>
      <c r="N164" s="541" t="s">
        <v>505</v>
      </c>
      <c r="O164" s="602">
        <v>46600</v>
      </c>
      <c r="P164" s="190">
        <v>0.2</v>
      </c>
      <c r="Q164" s="191"/>
      <c r="R164" s="204" t="s">
        <v>506</v>
      </c>
      <c r="S164" s="240"/>
      <c r="T164" s="107"/>
      <c r="U164" s="107"/>
      <c r="V164" s="107"/>
      <c r="W164" s="107"/>
      <c r="X164" s="107"/>
      <c r="Y164" s="107"/>
      <c r="Z164" s="107"/>
    </row>
    <row r="165" spans="1:26" ht="15.75" customHeight="1">
      <c r="A165" s="107" t="s">
        <v>453</v>
      </c>
      <c r="B165" s="534"/>
      <c r="C165" s="531"/>
      <c r="D165" s="531"/>
      <c r="E165" s="531"/>
      <c r="F165" s="531"/>
      <c r="G165" s="539"/>
      <c r="H165" s="131" t="s">
        <v>450</v>
      </c>
      <c r="I165" s="132">
        <v>1</v>
      </c>
      <c r="J165" s="133">
        <v>1</v>
      </c>
      <c r="K165" s="132">
        <v>1</v>
      </c>
      <c r="L165" s="133">
        <v>1</v>
      </c>
      <c r="M165" s="534"/>
      <c r="N165" s="531"/>
      <c r="O165" s="539"/>
      <c r="P165" s="190">
        <v>0.2</v>
      </c>
      <c r="Q165" s="148"/>
      <c r="R165" s="151" t="s">
        <v>507</v>
      </c>
      <c r="S165" s="240"/>
      <c r="T165" s="107"/>
      <c r="U165" s="107"/>
      <c r="V165" s="107"/>
      <c r="W165" s="107"/>
      <c r="X165" s="107"/>
      <c r="Y165" s="107"/>
      <c r="Z165" s="107"/>
    </row>
    <row r="166" spans="1:26" ht="15.75" customHeight="1">
      <c r="A166" s="107"/>
      <c r="B166" s="535"/>
      <c r="C166" s="532"/>
      <c r="D166" s="532"/>
      <c r="E166" s="532"/>
      <c r="F166" s="532"/>
      <c r="G166" s="540"/>
      <c r="H166" s="143" t="s">
        <v>112</v>
      </c>
      <c r="I166" s="202">
        <v>1</v>
      </c>
      <c r="J166" s="203">
        <v>1</v>
      </c>
      <c r="K166" s="202">
        <v>1</v>
      </c>
      <c r="L166" s="203">
        <v>1</v>
      </c>
      <c r="M166" s="535"/>
      <c r="N166" s="532"/>
      <c r="O166" s="540"/>
      <c r="P166" s="190">
        <v>0.2</v>
      </c>
      <c r="Q166" s="158"/>
      <c r="R166" s="253" t="s">
        <v>339</v>
      </c>
      <c r="S166" s="240"/>
      <c r="T166" s="107"/>
      <c r="U166" s="107"/>
      <c r="V166" s="107"/>
      <c r="W166" s="107"/>
      <c r="X166" s="107"/>
      <c r="Y166" s="107"/>
      <c r="Z166" s="107"/>
    </row>
    <row r="167" spans="1:26" ht="15.75" customHeight="1">
      <c r="A167" s="107"/>
      <c r="B167" s="533" t="s">
        <v>508</v>
      </c>
      <c r="C167" s="530" t="s">
        <v>319</v>
      </c>
      <c r="D167" s="530" t="s">
        <v>432</v>
      </c>
      <c r="E167" s="536">
        <v>214000</v>
      </c>
      <c r="F167" s="537" t="s">
        <v>433</v>
      </c>
      <c r="G167" s="538" t="s">
        <v>424</v>
      </c>
      <c r="H167" s="124" t="s">
        <v>103</v>
      </c>
      <c r="I167" s="125">
        <v>1</v>
      </c>
      <c r="J167" s="126">
        <v>1</v>
      </c>
      <c r="K167" s="125">
        <v>0</v>
      </c>
      <c r="L167" s="126">
        <v>1</v>
      </c>
      <c r="M167" s="601">
        <v>46905</v>
      </c>
      <c r="N167" s="613" t="s">
        <v>509</v>
      </c>
      <c r="O167" s="602">
        <v>46905</v>
      </c>
      <c r="P167" s="255">
        <v>0.1</v>
      </c>
      <c r="Q167" s="191"/>
      <c r="R167" s="216" t="s">
        <v>510</v>
      </c>
      <c r="S167" s="240"/>
      <c r="T167" s="107"/>
      <c r="U167" s="107"/>
      <c r="V167" s="107"/>
      <c r="W167" s="107"/>
      <c r="X167" s="107"/>
      <c r="Y167" s="107"/>
      <c r="Z167" s="107"/>
    </row>
    <row r="168" spans="1:26" ht="15.75" customHeight="1">
      <c r="A168" s="107"/>
      <c r="B168" s="534"/>
      <c r="C168" s="531"/>
      <c r="D168" s="531"/>
      <c r="E168" s="531"/>
      <c r="F168" s="531"/>
      <c r="G168" s="539"/>
      <c r="H168" s="131" t="s">
        <v>105</v>
      </c>
      <c r="I168" s="132">
        <v>1</v>
      </c>
      <c r="J168" s="133">
        <v>1</v>
      </c>
      <c r="K168" s="132">
        <v>0</v>
      </c>
      <c r="L168" s="133">
        <v>1</v>
      </c>
      <c r="M168" s="534"/>
      <c r="N168" s="531"/>
      <c r="O168" s="539"/>
      <c r="P168" s="152">
        <v>0.12</v>
      </c>
      <c r="Q168" s="148"/>
      <c r="R168" s="151" t="s">
        <v>511</v>
      </c>
      <c r="S168" s="240"/>
      <c r="T168" s="107"/>
      <c r="U168" s="107"/>
      <c r="V168" s="107"/>
      <c r="W168" s="107"/>
      <c r="X168" s="107"/>
      <c r="Y168" s="107"/>
      <c r="Z168" s="107"/>
    </row>
    <row r="169" spans="1:26" ht="15.75" customHeight="1">
      <c r="A169" s="107" t="s">
        <v>453</v>
      </c>
      <c r="B169" s="534"/>
      <c r="C169" s="531"/>
      <c r="D169" s="531"/>
      <c r="E169" s="531"/>
      <c r="F169" s="531"/>
      <c r="G169" s="539"/>
      <c r="H169" s="139" t="s">
        <v>512</v>
      </c>
      <c r="I169" s="192">
        <v>1</v>
      </c>
      <c r="J169" s="193">
        <v>1</v>
      </c>
      <c r="K169" s="192">
        <v>1</v>
      </c>
      <c r="L169" s="193">
        <v>1</v>
      </c>
      <c r="M169" s="534"/>
      <c r="N169" s="531"/>
      <c r="O169" s="539"/>
      <c r="P169" s="147">
        <v>0.15</v>
      </c>
      <c r="Q169" s="148"/>
      <c r="R169" s="250" t="s">
        <v>513</v>
      </c>
      <c r="S169" s="240"/>
      <c r="T169" s="107"/>
      <c r="U169" s="107"/>
      <c r="V169" s="107"/>
      <c r="W169" s="107"/>
      <c r="X169" s="107"/>
      <c r="Y169" s="107"/>
      <c r="Z169" s="107"/>
    </row>
    <row r="170" spans="1:26" ht="15.75" customHeight="1">
      <c r="A170" s="107"/>
      <c r="B170" s="534"/>
      <c r="C170" s="531"/>
      <c r="D170" s="531"/>
      <c r="E170" s="531"/>
      <c r="F170" s="531"/>
      <c r="G170" s="539"/>
      <c r="H170" s="180" t="s">
        <v>514</v>
      </c>
      <c r="I170" s="164">
        <v>1</v>
      </c>
      <c r="J170" s="165">
        <v>1</v>
      </c>
      <c r="K170" s="164">
        <v>1</v>
      </c>
      <c r="L170" s="165">
        <v>1</v>
      </c>
      <c r="M170" s="534"/>
      <c r="N170" s="531"/>
      <c r="O170" s="539"/>
      <c r="P170" s="147">
        <v>0.15</v>
      </c>
      <c r="Q170" s="148"/>
      <c r="R170" s="139"/>
      <c r="S170" s="240"/>
      <c r="T170" s="107"/>
      <c r="U170" s="107"/>
      <c r="V170" s="107"/>
      <c r="W170" s="107"/>
      <c r="X170" s="107"/>
      <c r="Y170" s="107"/>
      <c r="Z170" s="107"/>
    </row>
    <row r="171" spans="1:26" ht="15.75" customHeight="1">
      <c r="A171" s="107"/>
      <c r="B171" s="535"/>
      <c r="C171" s="532"/>
      <c r="D171" s="532"/>
      <c r="E171" s="532"/>
      <c r="F171" s="532"/>
      <c r="G171" s="540"/>
      <c r="H171" s="143" t="s">
        <v>112</v>
      </c>
      <c r="I171" s="202">
        <v>1</v>
      </c>
      <c r="J171" s="203">
        <v>1</v>
      </c>
      <c r="K171" s="202">
        <v>1</v>
      </c>
      <c r="L171" s="203">
        <v>1</v>
      </c>
      <c r="M171" s="535"/>
      <c r="N171" s="532"/>
      <c r="O171" s="540"/>
      <c r="P171" s="195">
        <v>0.15</v>
      </c>
      <c r="Q171" s="158"/>
      <c r="R171" s="143"/>
      <c r="S171" s="240"/>
      <c r="T171" s="107"/>
      <c r="U171" s="107"/>
      <c r="V171" s="107"/>
      <c r="W171" s="107"/>
      <c r="X171" s="107"/>
      <c r="Y171" s="107"/>
      <c r="Z171" s="107"/>
    </row>
    <row r="172" spans="1:26" ht="15.75" customHeight="1">
      <c r="A172" s="107"/>
      <c r="B172" s="533" t="s">
        <v>515</v>
      </c>
      <c r="C172" s="530" t="s">
        <v>331</v>
      </c>
      <c r="D172" s="530" t="s">
        <v>432</v>
      </c>
      <c r="E172" s="536">
        <v>211000</v>
      </c>
      <c r="F172" s="537" t="s">
        <v>433</v>
      </c>
      <c r="G172" s="538" t="s">
        <v>424</v>
      </c>
      <c r="H172" s="124" t="s">
        <v>321</v>
      </c>
      <c r="I172" s="125">
        <v>0</v>
      </c>
      <c r="J172" s="126">
        <v>0</v>
      </c>
      <c r="K172" s="125">
        <v>0</v>
      </c>
      <c r="L172" s="126">
        <v>0</v>
      </c>
      <c r="M172" s="601" t="s">
        <v>70</v>
      </c>
      <c r="N172" s="613" t="s">
        <v>516</v>
      </c>
      <c r="O172" s="602">
        <v>47178</v>
      </c>
      <c r="P172" s="190">
        <v>0.15</v>
      </c>
      <c r="Q172" s="191"/>
      <c r="R172" s="216" t="s">
        <v>440</v>
      </c>
      <c r="S172" s="240"/>
      <c r="T172" s="107"/>
      <c r="U172" s="107"/>
      <c r="V172" s="107"/>
      <c r="W172" s="107"/>
      <c r="X172" s="107"/>
      <c r="Y172" s="107"/>
      <c r="Z172" s="107"/>
    </row>
    <row r="173" spans="1:26" ht="15.75" customHeight="1">
      <c r="A173" s="107"/>
      <c r="B173" s="534"/>
      <c r="C173" s="531"/>
      <c r="D173" s="531"/>
      <c r="E173" s="531"/>
      <c r="F173" s="531"/>
      <c r="G173" s="539"/>
      <c r="H173" s="131" t="s">
        <v>103</v>
      </c>
      <c r="I173" s="132">
        <v>0</v>
      </c>
      <c r="J173" s="133">
        <v>0</v>
      </c>
      <c r="K173" s="132">
        <v>0</v>
      </c>
      <c r="L173" s="133">
        <v>0</v>
      </c>
      <c r="M173" s="534"/>
      <c r="N173" s="531"/>
      <c r="O173" s="539"/>
      <c r="P173" s="147">
        <v>0.15</v>
      </c>
      <c r="Q173" s="148"/>
      <c r="R173" s="261"/>
      <c r="S173" s="240"/>
      <c r="T173" s="107"/>
      <c r="U173" s="107"/>
      <c r="V173" s="107"/>
      <c r="W173" s="107"/>
      <c r="X173" s="107"/>
      <c r="Y173" s="107"/>
      <c r="Z173" s="107"/>
    </row>
    <row r="174" spans="1:26" ht="15.75" customHeight="1">
      <c r="A174" s="107"/>
      <c r="B174" s="534"/>
      <c r="C174" s="531"/>
      <c r="D174" s="531"/>
      <c r="E174" s="531"/>
      <c r="F174" s="531"/>
      <c r="G174" s="539"/>
      <c r="H174" s="131" t="s">
        <v>105</v>
      </c>
      <c r="I174" s="132">
        <v>0</v>
      </c>
      <c r="J174" s="133">
        <v>0</v>
      </c>
      <c r="K174" s="132">
        <v>0</v>
      </c>
      <c r="L174" s="133">
        <v>0</v>
      </c>
      <c r="M174" s="534"/>
      <c r="N174" s="531"/>
      <c r="O174" s="539"/>
      <c r="P174" s="147">
        <v>0.15</v>
      </c>
      <c r="Q174" s="148"/>
      <c r="R174" s="151" t="s">
        <v>517</v>
      </c>
      <c r="S174" s="240"/>
      <c r="T174" s="107"/>
      <c r="U174" s="107"/>
      <c r="V174" s="107"/>
      <c r="W174" s="107"/>
      <c r="X174" s="107"/>
      <c r="Y174" s="107"/>
      <c r="Z174" s="107"/>
    </row>
    <row r="175" spans="1:26" ht="15.75" customHeight="1">
      <c r="A175" s="107" t="s">
        <v>453</v>
      </c>
      <c r="B175" s="534"/>
      <c r="C175" s="531"/>
      <c r="D175" s="531"/>
      <c r="E175" s="531"/>
      <c r="F175" s="531"/>
      <c r="G175" s="539"/>
      <c r="H175" s="139" t="s">
        <v>512</v>
      </c>
      <c r="I175" s="192">
        <v>0</v>
      </c>
      <c r="J175" s="193">
        <v>1</v>
      </c>
      <c r="K175" s="192">
        <v>0</v>
      </c>
      <c r="L175" s="193">
        <v>0</v>
      </c>
      <c r="M175" s="534"/>
      <c r="N175" s="531"/>
      <c r="O175" s="539"/>
      <c r="P175" s="147">
        <v>0.15</v>
      </c>
      <c r="Q175" s="148"/>
      <c r="R175" s="139"/>
      <c r="S175" s="240"/>
      <c r="T175" s="107"/>
      <c r="U175" s="107"/>
      <c r="V175" s="107"/>
      <c r="W175" s="107"/>
      <c r="X175" s="107"/>
      <c r="Y175" s="107"/>
      <c r="Z175" s="107"/>
    </row>
    <row r="176" spans="1:26" ht="15.75" customHeight="1">
      <c r="A176" s="107"/>
      <c r="B176" s="534"/>
      <c r="C176" s="531"/>
      <c r="D176" s="531"/>
      <c r="E176" s="531"/>
      <c r="F176" s="531"/>
      <c r="G176" s="539"/>
      <c r="H176" s="180" t="s">
        <v>518</v>
      </c>
      <c r="I176" s="164">
        <v>1</v>
      </c>
      <c r="J176" s="165">
        <v>1</v>
      </c>
      <c r="K176" s="164">
        <v>1</v>
      </c>
      <c r="L176" s="165">
        <v>1</v>
      </c>
      <c r="M176" s="534"/>
      <c r="N176" s="531"/>
      <c r="O176" s="539"/>
      <c r="P176" s="147">
        <v>0.15</v>
      </c>
      <c r="Q176" s="148"/>
      <c r="R176" s="139"/>
      <c r="S176" s="240"/>
      <c r="T176" s="107"/>
      <c r="U176" s="107"/>
      <c r="V176" s="107"/>
      <c r="W176" s="107"/>
      <c r="X176" s="107"/>
      <c r="Y176" s="107"/>
      <c r="Z176" s="107"/>
    </row>
    <row r="177" spans="1:26" ht="15.75" customHeight="1">
      <c r="A177" s="107"/>
      <c r="B177" s="534"/>
      <c r="C177" s="531"/>
      <c r="D177" s="531"/>
      <c r="E177" s="531"/>
      <c r="F177" s="531"/>
      <c r="G177" s="539"/>
      <c r="H177" s="180" t="s">
        <v>109</v>
      </c>
      <c r="I177" s="164">
        <v>1</v>
      </c>
      <c r="J177" s="165">
        <v>1</v>
      </c>
      <c r="K177" s="164">
        <v>1</v>
      </c>
      <c r="L177" s="165">
        <v>1</v>
      </c>
      <c r="M177" s="534"/>
      <c r="N177" s="531"/>
      <c r="O177" s="539"/>
      <c r="P177" s="147">
        <v>0.15</v>
      </c>
      <c r="Q177" s="148"/>
      <c r="R177" s="139"/>
      <c r="S177" s="240"/>
      <c r="T177" s="107"/>
      <c r="U177" s="107"/>
      <c r="V177" s="107"/>
      <c r="W177" s="107"/>
      <c r="X177" s="107"/>
      <c r="Y177" s="107"/>
      <c r="Z177" s="107"/>
    </row>
    <row r="178" spans="1:26" ht="15.75" customHeight="1">
      <c r="A178" s="107"/>
      <c r="B178" s="535"/>
      <c r="C178" s="532"/>
      <c r="D178" s="532"/>
      <c r="E178" s="532"/>
      <c r="F178" s="532"/>
      <c r="G178" s="540"/>
      <c r="H178" s="143" t="s">
        <v>444</v>
      </c>
      <c r="I178" s="241"/>
      <c r="J178" s="228"/>
      <c r="K178" s="241"/>
      <c r="L178" s="228"/>
      <c r="M178" s="535"/>
      <c r="N178" s="532"/>
      <c r="O178" s="540"/>
      <c r="P178" s="195">
        <v>0.1</v>
      </c>
      <c r="Q178" s="158"/>
      <c r="R178" s="143"/>
      <c r="S178" s="240"/>
      <c r="T178" s="107"/>
      <c r="U178" s="107"/>
      <c r="V178" s="107"/>
      <c r="W178" s="107"/>
      <c r="X178" s="107"/>
      <c r="Y178" s="107"/>
      <c r="Z178" s="107"/>
    </row>
    <row r="179" spans="1:26" ht="15.75" customHeight="1">
      <c r="A179" s="107"/>
      <c r="B179" s="533" t="s">
        <v>519</v>
      </c>
      <c r="C179" s="530" t="s">
        <v>319</v>
      </c>
      <c r="D179" s="530" t="s">
        <v>432</v>
      </c>
      <c r="E179" s="536">
        <v>206000</v>
      </c>
      <c r="F179" s="537" t="s">
        <v>499</v>
      </c>
      <c r="G179" s="538" t="s">
        <v>520</v>
      </c>
      <c r="H179" s="124" t="s">
        <v>321</v>
      </c>
      <c r="I179" s="125">
        <v>0</v>
      </c>
      <c r="J179" s="126">
        <v>0</v>
      </c>
      <c r="K179" s="125">
        <v>0</v>
      </c>
      <c r="L179" s="126">
        <v>0</v>
      </c>
      <c r="M179" s="601" t="s">
        <v>70</v>
      </c>
      <c r="N179" s="541" t="s">
        <v>521</v>
      </c>
      <c r="O179" s="602">
        <v>47027</v>
      </c>
      <c r="P179" s="190">
        <v>0.2</v>
      </c>
      <c r="Q179" s="191"/>
      <c r="R179" s="204" t="s">
        <v>425</v>
      </c>
      <c r="S179" s="607" t="s">
        <v>522</v>
      </c>
      <c r="T179" s="107"/>
      <c r="U179" s="107"/>
      <c r="V179" s="107"/>
      <c r="W179" s="107"/>
      <c r="X179" s="107"/>
      <c r="Y179" s="107"/>
      <c r="Z179" s="107"/>
    </row>
    <row r="180" spans="1:26" ht="15.75" customHeight="1">
      <c r="A180" s="107" t="s">
        <v>453</v>
      </c>
      <c r="B180" s="534"/>
      <c r="C180" s="531"/>
      <c r="D180" s="531"/>
      <c r="E180" s="531"/>
      <c r="F180" s="531"/>
      <c r="G180" s="539"/>
      <c r="H180" s="131" t="s">
        <v>103</v>
      </c>
      <c r="I180" s="132">
        <v>0</v>
      </c>
      <c r="J180" s="133">
        <v>0</v>
      </c>
      <c r="K180" s="132">
        <v>0</v>
      </c>
      <c r="L180" s="133">
        <v>0</v>
      </c>
      <c r="M180" s="534"/>
      <c r="N180" s="531"/>
      <c r="O180" s="539"/>
      <c r="P180" s="147">
        <v>0.2</v>
      </c>
      <c r="Q180" s="148"/>
      <c r="R180" s="218" t="s">
        <v>523</v>
      </c>
      <c r="S180" s="576"/>
      <c r="T180" s="107"/>
      <c r="U180" s="107"/>
      <c r="V180" s="107"/>
      <c r="W180" s="107"/>
      <c r="X180" s="107"/>
      <c r="Y180" s="107"/>
      <c r="Z180" s="107"/>
    </row>
    <row r="181" spans="1:26" ht="15.75" customHeight="1">
      <c r="A181" s="107"/>
      <c r="B181" s="534"/>
      <c r="C181" s="531"/>
      <c r="D181" s="531"/>
      <c r="E181" s="531"/>
      <c r="F181" s="531"/>
      <c r="G181" s="539"/>
      <c r="H181" s="131" t="s">
        <v>105</v>
      </c>
      <c r="I181" s="132">
        <v>0</v>
      </c>
      <c r="J181" s="133">
        <v>0</v>
      </c>
      <c r="K181" s="132">
        <v>0</v>
      </c>
      <c r="L181" s="133">
        <v>0</v>
      </c>
      <c r="M181" s="534"/>
      <c r="N181" s="531"/>
      <c r="O181" s="539"/>
      <c r="P181" s="147">
        <v>0.2</v>
      </c>
      <c r="Q181" s="148"/>
      <c r="R181" s="151" t="s">
        <v>524</v>
      </c>
      <c r="S181" s="576"/>
      <c r="T181" s="107"/>
      <c r="U181" s="107"/>
      <c r="V181" s="107"/>
      <c r="W181" s="107"/>
      <c r="X181" s="107"/>
      <c r="Y181" s="107"/>
      <c r="Z181" s="107"/>
    </row>
    <row r="182" spans="1:26" ht="15.75" customHeight="1">
      <c r="A182" s="107"/>
      <c r="B182" s="535"/>
      <c r="C182" s="532"/>
      <c r="D182" s="532"/>
      <c r="E182" s="532"/>
      <c r="F182" s="532"/>
      <c r="G182" s="540"/>
      <c r="H182" s="143" t="s">
        <v>109</v>
      </c>
      <c r="I182" s="202">
        <v>0</v>
      </c>
      <c r="J182" s="203">
        <v>1</v>
      </c>
      <c r="K182" s="202">
        <v>0</v>
      </c>
      <c r="L182" s="203">
        <v>0</v>
      </c>
      <c r="M182" s="535"/>
      <c r="N182" s="532"/>
      <c r="O182" s="540"/>
      <c r="P182" s="195">
        <v>0.2</v>
      </c>
      <c r="Q182" s="158"/>
      <c r="R182" s="143"/>
      <c r="S182" s="564"/>
      <c r="T182" s="107"/>
      <c r="U182" s="107"/>
      <c r="V182" s="107"/>
      <c r="W182" s="107"/>
      <c r="X182" s="107"/>
      <c r="Y182" s="107"/>
      <c r="Z182" s="107"/>
    </row>
    <row r="183" spans="1:26" ht="15.75" customHeight="1">
      <c r="A183" s="107"/>
      <c r="B183" s="262" t="s">
        <v>525</v>
      </c>
      <c r="C183" s="263"/>
      <c r="D183" s="263"/>
      <c r="E183" s="264"/>
      <c r="F183" s="265"/>
      <c r="G183" s="263"/>
      <c r="H183" s="263"/>
      <c r="I183" s="263"/>
      <c r="J183" s="263"/>
      <c r="K183" s="263"/>
      <c r="L183" s="263"/>
      <c r="M183" s="263"/>
      <c r="N183" s="263"/>
      <c r="O183" s="266"/>
      <c r="P183" s="267"/>
      <c r="Q183" s="268"/>
      <c r="R183" s="269"/>
      <c r="S183" s="107"/>
      <c r="T183" s="107"/>
      <c r="U183" s="107"/>
      <c r="V183" s="107"/>
      <c r="W183" s="107"/>
      <c r="X183" s="107"/>
      <c r="Y183" s="107"/>
      <c r="Z183" s="107"/>
    </row>
    <row r="184" spans="1:26" ht="15.75" customHeight="1">
      <c r="A184" s="107"/>
      <c r="B184" s="533" t="s">
        <v>526</v>
      </c>
      <c r="C184" s="541" t="s">
        <v>331</v>
      </c>
      <c r="D184" s="530" t="s">
        <v>61</v>
      </c>
      <c r="E184" s="542">
        <v>235000</v>
      </c>
      <c r="F184" s="543">
        <v>0.15</v>
      </c>
      <c r="G184" s="544" t="s">
        <v>424</v>
      </c>
      <c r="H184" s="208" t="s">
        <v>527</v>
      </c>
      <c r="I184" s="270"/>
      <c r="J184" s="271"/>
      <c r="K184" s="270"/>
      <c r="L184" s="271"/>
      <c r="M184" s="608" t="s">
        <v>61</v>
      </c>
      <c r="N184" s="599" t="s">
        <v>528</v>
      </c>
      <c r="O184" s="272"/>
      <c r="P184" s="190">
        <v>0.15</v>
      </c>
      <c r="Q184" s="191"/>
      <c r="R184" s="204" t="s">
        <v>529</v>
      </c>
      <c r="S184" s="130"/>
      <c r="T184" s="107"/>
      <c r="U184" s="107"/>
      <c r="V184" s="107"/>
      <c r="W184" s="107"/>
      <c r="X184" s="107"/>
      <c r="Y184" s="107"/>
      <c r="Z184" s="107"/>
    </row>
    <row r="185" spans="1:26" ht="15.75" customHeight="1">
      <c r="A185" s="107"/>
      <c r="B185" s="534"/>
      <c r="C185" s="531"/>
      <c r="D185" s="531"/>
      <c r="E185" s="531"/>
      <c r="F185" s="531"/>
      <c r="G185" s="539"/>
      <c r="H185" s="211" t="s">
        <v>530</v>
      </c>
      <c r="I185" s="273"/>
      <c r="J185" s="206"/>
      <c r="K185" s="273"/>
      <c r="L185" s="206"/>
      <c r="M185" s="495"/>
      <c r="N185" s="576"/>
      <c r="O185" s="107"/>
      <c r="P185" s="190">
        <v>0.15</v>
      </c>
      <c r="Q185" s="148"/>
      <c r="R185" s="107"/>
      <c r="S185" s="139"/>
      <c r="T185" s="107"/>
      <c r="U185" s="107"/>
      <c r="V185" s="107"/>
      <c r="W185" s="107"/>
      <c r="X185" s="107"/>
      <c r="Y185" s="107"/>
      <c r="Z185" s="107"/>
    </row>
    <row r="186" spans="1:26" ht="15.75" customHeight="1">
      <c r="A186" s="107"/>
      <c r="B186" s="534"/>
      <c r="C186" s="531"/>
      <c r="D186" s="531"/>
      <c r="E186" s="531"/>
      <c r="F186" s="531"/>
      <c r="G186" s="539"/>
      <c r="H186" s="211" t="s">
        <v>531</v>
      </c>
      <c r="I186" s="273"/>
      <c r="J186" s="206"/>
      <c r="K186" s="273"/>
      <c r="L186" s="206"/>
      <c r="M186" s="495"/>
      <c r="N186" s="576"/>
      <c r="O186" s="107"/>
      <c r="P186" s="190">
        <v>0.15</v>
      </c>
      <c r="Q186" s="148"/>
      <c r="R186" s="274" t="s">
        <v>532</v>
      </c>
      <c r="S186" s="139"/>
      <c r="T186" s="107"/>
      <c r="U186" s="107"/>
      <c r="V186" s="107"/>
      <c r="W186" s="107"/>
      <c r="X186" s="107"/>
      <c r="Y186" s="107"/>
      <c r="Z186" s="107"/>
    </row>
    <row r="187" spans="1:26" ht="15.75" customHeight="1">
      <c r="A187" s="107" t="s">
        <v>453</v>
      </c>
      <c r="B187" s="534"/>
      <c r="C187" s="531"/>
      <c r="D187" s="531"/>
      <c r="E187" s="531"/>
      <c r="F187" s="531"/>
      <c r="G187" s="539"/>
      <c r="H187" s="211" t="s">
        <v>533</v>
      </c>
      <c r="I187" s="273"/>
      <c r="J187" s="206"/>
      <c r="K187" s="273"/>
      <c r="L187" s="206"/>
      <c r="M187" s="495"/>
      <c r="N187" s="576"/>
      <c r="O187" s="275"/>
      <c r="P187" s="190">
        <v>0.15</v>
      </c>
      <c r="Q187" s="148"/>
      <c r="R187" s="610"/>
      <c r="S187" s="139"/>
      <c r="T187" s="107"/>
      <c r="U187" s="107"/>
      <c r="V187" s="107"/>
      <c r="W187" s="107"/>
      <c r="X187" s="107"/>
      <c r="Y187" s="107"/>
      <c r="Z187" s="107"/>
    </row>
    <row r="188" spans="1:26" ht="15.75" customHeight="1">
      <c r="A188" s="107"/>
      <c r="B188" s="534"/>
      <c r="C188" s="531"/>
      <c r="D188" s="531"/>
      <c r="E188" s="531"/>
      <c r="F188" s="531"/>
      <c r="G188" s="539"/>
      <c r="H188" s="211" t="s">
        <v>534</v>
      </c>
      <c r="I188" s="273"/>
      <c r="J188" s="206"/>
      <c r="K188" s="273"/>
      <c r="L188" s="206"/>
      <c r="M188" s="495"/>
      <c r="N188" s="576"/>
      <c r="O188" s="275"/>
      <c r="P188" s="190">
        <v>0.15</v>
      </c>
      <c r="Q188" s="148"/>
      <c r="R188" s="576"/>
      <c r="S188" s="139"/>
      <c r="T188" s="107"/>
      <c r="U188" s="107"/>
      <c r="V188" s="107"/>
      <c r="W188" s="107"/>
      <c r="X188" s="107"/>
      <c r="Y188" s="107"/>
      <c r="Z188" s="107"/>
    </row>
    <row r="189" spans="1:26" ht="15.75" customHeight="1">
      <c r="A189" s="107"/>
      <c r="B189" s="534"/>
      <c r="C189" s="531"/>
      <c r="D189" s="531"/>
      <c r="E189" s="531"/>
      <c r="F189" s="531"/>
      <c r="G189" s="539"/>
      <c r="H189" s="211" t="s">
        <v>535</v>
      </c>
      <c r="I189" s="273"/>
      <c r="J189" s="206"/>
      <c r="K189" s="273"/>
      <c r="L189" s="206"/>
      <c r="M189" s="495"/>
      <c r="N189" s="576"/>
      <c r="O189" s="107"/>
      <c r="P189" s="190">
        <v>0.15</v>
      </c>
      <c r="Q189" s="148"/>
      <c r="R189" s="139"/>
      <c r="S189" s="107"/>
      <c r="T189" s="107"/>
      <c r="U189" s="107"/>
      <c r="V189" s="107"/>
      <c r="W189" s="107"/>
      <c r="X189" s="107"/>
      <c r="Y189" s="107"/>
      <c r="Z189" s="107"/>
    </row>
    <row r="190" spans="1:26" ht="15.75" customHeight="1">
      <c r="A190" s="107"/>
      <c r="B190" s="534"/>
      <c r="C190" s="531"/>
      <c r="D190" s="531"/>
      <c r="E190" s="531"/>
      <c r="F190" s="531"/>
      <c r="G190" s="539"/>
      <c r="H190" s="273" t="s">
        <v>536</v>
      </c>
      <c r="I190" s="273"/>
      <c r="J190" s="206"/>
      <c r="K190" s="273"/>
      <c r="L190" s="206"/>
      <c r="M190" s="495"/>
      <c r="N190" s="576"/>
      <c r="O190" s="107"/>
      <c r="P190" s="190">
        <v>0.15</v>
      </c>
      <c r="Q190" s="148"/>
      <c r="R190" s="206"/>
      <c r="S190" s="139"/>
      <c r="T190" s="107"/>
      <c r="U190" s="107"/>
      <c r="V190" s="107"/>
      <c r="W190" s="107"/>
      <c r="X190" s="107"/>
      <c r="Y190" s="107"/>
      <c r="Z190" s="107"/>
    </row>
    <row r="191" spans="1:26" ht="15.75" customHeight="1">
      <c r="A191" s="107"/>
      <c r="B191" s="535"/>
      <c r="C191" s="532"/>
      <c r="D191" s="532"/>
      <c r="E191" s="532"/>
      <c r="F191" s="532"/>
      <c r="G191" s="540"/>
      <c r="H191" s="276" t="s">
        <v>537</v>
      </c>
      <c r="I191" s="276"/>
      <c r="J191" s="277"/>
      <c r="K191" s="276"/>
      <c r="L191" s="277"/>
      <c r="M191" s="609"/>
      <c r="N191" s="564"/>
      <c r="O191" s="278"/>
      <c r="P191" s="190">
        <v>0.15</v>
      </c>
      <c r="Q191" s="158"/>
      <c r="R191" s="277"/>
      <c r="S191" s="143"/>
      <c r="T191" s="107"/>
      <c r="U191" s="107"/>
      <c r="V191" s="107"/>
      <c r="W191" s="107"/>
      <c r="X191" s="107"/>
      <c r="Y191" s="107"/>
      <c r="Z191" s="107"/>
    </row>
    <row r="192" spans="1:26" ht="15.75" customHeight="1">
      <c r="A192" s="107"/>
      <c r="B192" s="533" t="s">
        <v>538</v>
      </c>
      <c r="C192" s="541" t="s">
        <v>331</v>
      </c>
      <c r="D192" s="530" t="s">
        <v>432</v>
      </c>
      <c r="E192" s="542">
        <v>235000</v>
      </c>
      <c r="F192" s="543">
        <v>0.13</v>
      </c>
      <c r="G192" s="544">
        <v>0.02</v>
      </c>
      <c r="H192" s="208" t="s">
        <v>527</v>
      </c>
      <c r="I192" s="270"/>
      <c r="J192" s="271"/>
      <c r="K192" s="270"/>
      <c r="L192" s="271"/>
      <c r="M192" s="608" t="s">
        <v>467</v>
      </c>
      <c r="N192" s="599" t="s">
        <v>539</v>
      </c>
      <c r="O192" s="270"/>
      <c r="P192" s="190">
        <v>0.1</v>
      </c>
      <c r="Q192" s="191"/>
      <c r="R192" s="611" t="s">
        <v>540</v>
      </c>
      <c r="S192" s="107"/>
      <c r="T192" s="107"/>
      <c r="U192" s="107"/>
      <c r="V192" s="107"/>
      <c r="W192" s="107"/>
      <c r="X192" s="107"/>
      <c r="Y192" s="107"/>
      <c r="Z192" s="107"/>
    </row>
    <row r="193" spans="1:26" ht="15.75" customHeight="1">
      <c r="A193" s="107"/>
      <c r="B193" s="534"/>
      <c r="C193" s="531"/>
      <c r="D193" s="531"/>
      <c r="E193" s="531"/>
      <c r="F193" s="531"/>
      <c r="G193" s="539"/>
      <c r="H193" s="211" t="s">
        <v>530</v>
      </c>
      <c r="I193" s="273"/>
      <c r="J193" s="206"/>
      <c r="K193" s="273"/>
      <c r="L193" s="206"/>
      <c r="M193" s="495"/>
      <c r="N193" s="576"/>
      <c r="O193" s="273"/>
      <c r="P193" s="190">
        <v>0.1</v>
      </c>
      <c r="Q193" s="148"/>
      <c r="R193" s="576"/>
      <c r="S193" s="107"/>
      <c r="T193" s="107"/>
      <c r="U193" s="107"/>
      <c r="V193" s="107"/>
      <c r="W193" s="107"/>
      <c r="X193" s="107"/>
      <c r="Y193" s="107"/>
      <c r="Z193" s="107"/>
    </row>
    <row r="194" spans="1:26" ht="15.75" customHeight="1">
      <c r="A194" s="107"/>
      <c r="B194" s="534"/>
      <c r="C194" s="531"/>
      <c r="D194" s="531"/>
      <c r="E194" s="531"/>
      <c r="F194" s="531"/>
      <c r="G194" s="539"/>
      <c r="H194" s="211" t="s">
        <v>531</v>
      </c>
      <c r="I194" s="273"/>
      <c r="J194" s="206"/>
      <c r="K194" s="273"/>
      <c r="L194" s="206"/>
      <c r="M194" s="495"/>
      <c r="N194" s="576"/>
      <c r="O194" s="273"/>
      <c r="P194" s="190">
        <v>0.1</v>
      </c>
      <c r="Q194" s="148"/>
      <c r="R194" s="576"/>
      <c r="S194" s="107"/>
      <c r="T194" s="107"/>
      <c r="U194" s="107"/>
      <c r="V194" s="107"/>
      <c r="W194" s="107"/>
      <c r="X194" s="107"/>
      <c r="Y194" s="107"/>
      <c r="Z194" s="107"/>
    </row>
    <row r="195" spans="1:26" ht="15.75" customHeight="1">
      <c r="A195" s="107" t="s">
        <v>453</v>
      </c>
      <c r="B195" s="534"/>
      <c r="C195" s="531"/>
      <c r="D195" s="531"/>
      <c r="E195" s="531"/>
      <c r="F195" s="531"/>
      <c r="G195" s="539"/>
      <c r="H195" s="211" t="s">
        <v>533</v>
      </c>
      <c r="I195" s="273"/>
      <c r="J195" s="206"/>
      <c r="K195" s="273"/>
      <c r="L195" s="206"/>
      <c r="M195" s="495"/>
      <c r="N195" s="576"/>
      <c r="O195" s="279">
        <v>46813</v>
      </c>
      <c r="P195" s="190">
        <v>0.1</v>
      </c>
      <c r="Q195" s="148"/>
      <c r="R195" s="612"/>
      <c r="S195" s="107"/>
      <c r="T195" s="107"/>
      <c r="U195" s="107"/>
      <c r="V195" s="107"/>
      <c r="W195" s="107"/>
      <c r="X195" s="107"/>
      <c r="Y195" s="107"/>
      <c r="Z195" s="107"/>
    </row>
    <row r="196" spans="1:26" ht="15.75" customHeight="1">
      <c r="A196" s="107"/>
      <c r="B196" s="534"/>
      <c r="C196" s="531"/>
      <c r="D196" s="531"/>
      <c r="E196" s="531"/>
      <c r="F196" s="531"/>
      <c r="G196" s="539"/>
      <c r="H196" s="211" t="s">
        <v>534</v>
      </c>
      <c r="I196" s="273"/>
      <c r="J196" s="206"/>
      <c r="K196" s="273"/>
      <c r="L196" s="206"/>
      <c r="M196" s="495"/>
      <c r="N196" s="576"/>
      <c r="O196" s="280"/>
      <c r="P196" s="190">
        <v>0.1</v>
      </c>
      <c r="Q196" s="148"/>
      <c r="R196" s="139"/>
      <c r="S196" s="107"/>
      <c r="T196" s="107"/>
      <c r="U196" s="107"/>
      <c r="V196" s="107"/>
      <c r="W196" s="107"/>
      <c r="X196" s="107"/>
      <c r="Y196" s="107"/>
      <c r="Z196" s="107"/>
    </row>
    <row r="197" spans="1:26" ht="15.75" customHeight="1">
      <c r="A197" s="107"/>
      <c r="B197" s="534"/>
      <c r="C197" s="531"/>
      <c r="D197" s="531"/>
      <c r="E197" s="531"/>
      <c r="F197" s="531"/>
      <c r="G197" s="539"/>
      <c r="H197" s="211" t="s">
        <v>535</v>
      </c>
      <c r="I197" s="273"/>
      <c r="J197" s="206"/>
      <c r="K197" s="273"/>
      <c r="L197" s="206"/>
      <c r="M197" s="495"/>
      <c r="N197" s="576"/>
      <c r="O197" s="273"/>
      <c r="P197" s="190">
        <v>0.1</v>
      </c>
      <c r="Q197" s="148"/>
      <c r="R197" s="139"/>
      <c r="S197" s="107"/>
      <c r="T197" s="107"/>
      <c r="U197" s="107"/>
      <c r="V197" s="107"/>
      <c r="W197" s="107"/>
      <c r="X197" s="107"/>
      <c r="Y197" s="107"/>
      <c r="Z197" s="107"/>
    </row>
    <row r="198" spans="1:26" ht="15.75" customHeight="1">
      <c r="A198" s="107"/>
      <c r="B198" s="534"/>
      <c r="C198" s="531"/>
      <c r="D198" s="531"/>
      <c r="E198" s="531"/>
      <c r="F198" s="531"/>
      <c r="G198" s="539"/>
      <c r="H198" s="273" t="s">
        <v>536</v>
      </c>
      <c r="I198" s="273"/>
      <c r="J198" s="206"/>
      <c r="K198" s="273"/>
      <c r="L198" s="206"/>
      <c r="M198" s="495"/>
      <c r="N198" s="576"/>
      <c r="O198" s="273"/>
      <c r="P198" s="190">
        <v>0.1</v>
      </c>
      <c r="Q198" s="148"/>
      <c r="R198" s="139"/>
      <c r="S198" s="107"/>
      <c r="T198" s="107"/>
      <c r="U198" s="107"/>
      <c r="V198" s="107"/>
      <c r="W198" s="107"/>
      <c r="X198" s="107"/>
      <c r="Y198" s="107"/>
      <c r="Z198" s="107"/>
    </row>
    <row r="199" spans="1:26" ht="15.75" customHeight="1">
      <c r="A199" s="107"/>
      <c r="B199" s="535"/>
      <c r="C199" s="532"/>
      <c r="D199" s="532"/>
      <c r="E199" s="532"/>
      <c r="F199" s="532"/>
      <c r="G199" s="540"/>
      <c r="H199" s="276" t="s">
        <v>537</v>
      </c>
      <c r="I199" s="276"/>
      <c r="J199" s="277"/>
      <c r="K199" s="276"/>
      <c r="L199" s="277"/>
      <c r="M199" s="609"/>
      <c r="N199" s="564"/>
      <c r="O199" s="276"/>
      <c r="P199" s="281">
        <v>0.1</v>
      </c>
      <c r="Q199" s="158"/>
      <c r="R199" s="143"/>
      <c r="S199" s="107"/>
      <c r="T199" s="107"/>
      <c r="U199" s="107"/>
      <c r="V199" s="107"/>
      <c r="W199" s="107"/>
      <c r="X199" s="107"/>
      <c r="Y199" s="107"/>
      <c r="Z199" s="107"/>
    </row>
    <row r="200" spans="1:26" ht="15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 spans="1:26" ht="15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 spans="1:26" ht="15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 spans="1:26" ht="15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 spans="1:26" ht="15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 spans="1:26" ht="15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 spans="1:26" ht="15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 spans="1:26" ht="15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 spans="1:26" ht="15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 spans="1:26" ht="15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 spans="1:26" ht="15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 spans="1:26" ht="15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 spans="1:26" ht="15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 spans="1:26" ht="15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 spans="1:26" ht="15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 spans="1:26" ht="15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 spans="1:26" ht="15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 spans="1:26" ht="15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 spans="1:26" ht="15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 spans="1:26" ht="15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 spans="1:26" ht="15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 spans="1:26" ht="15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 spans="1:26" ht="15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 spans="1:26" ht="15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 spans="1:26" ht="15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 spans="1:26" ht="15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 spans="1:26" ht="15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 spans="1:26" ht="15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 spans="1:26" ht="15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 spans="1:26" ht="15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 spans="1:26" ht="15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 spans="1:26" ht="15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 spans="1:26" ht="15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 spans="1:26" ht="15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 spans="1:26" ht="15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 spans="1:26" ht="15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 spans="1:26" ht="15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 spans="1:26" ht="15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 spans="1:26" ht="15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 spans="1:26" ht="15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 spans="1:26" ht="15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 spans="1:26" ht="15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 spans="1:26" ht="15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 spans="1:26" ht="15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 spans="1:26" ht="15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 spans="1:26" ht="15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 spans="1:26" ht="15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 spans="1:26" ht="15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 spans="1:26" ht="15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 spans="1:26" ht="15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 spans="1:26" ht="15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 spans="1:26" ht="15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 spans="1:26" ht="15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 spans="1:26" ht="15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 spans="1:26" ht="15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 spans="1:26" ht="15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 spans="1:26" ht="15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 spans="1:26" ht="15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 spans="1:26" ht="15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 spans="1:26" ht="15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 spans="1:26" ht="15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 spans="1:26" ht="15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 spans="1:26" ht="15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 spans="1:26" ht="15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 spans="1:26" ht="15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 spans="1:26" ht="15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 spans="1:26" ht="15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 spans="1:26" ht="15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 spans="1:26" ht="15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 spans="1:26" ht="15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 spans="1:26" ht="15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 spans="1:26" ht="15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 spans="1:26" ht="15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 spans="1:26" ht="15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 spans="1:26" ht="15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 spans="1:26" ht="15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 spans="1:26" ht="15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 spans="1:26" ht="15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 spans="1:26" ht="15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 spans="1:26" ht="15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 spans="1:26" ht="15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 spans="1:26" ht="15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spans="1:26" ht="15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 spans="1:26" ht="15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 spans="1:26" ht="15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 spans="1:26" ht="15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spans="1:26" ht="15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5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5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5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5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5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5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5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5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5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5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5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5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5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5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5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5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5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5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5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5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5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5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5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5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5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5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5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5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5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5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5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5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5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5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5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5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5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5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5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5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5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5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5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5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5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5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5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5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5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5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5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5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5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5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5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5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5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5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5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5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5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5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5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5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5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5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5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5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5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5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5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5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5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5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5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5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5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5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5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5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5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5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5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5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5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5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5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5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5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5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5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5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5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5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5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5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5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5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5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5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5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5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5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5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5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5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5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5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5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5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5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5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5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Z199" xr:uid="{00000000-0009-0000-0000-00000B000000}"/>
  <mergeCells count="294">
    <mergeCell ref="R118:R119"/>
    <mergeCell ref="N132:N136"/>
    <mergeCell ref="O132:O136"/>
    <mergeCell ref="S132:S136"/>
    <mergeCell ref="M137:M141"/>
    <mergeCell ref="N137:N141"/>
    <mergeCell ref="O137:O141"/>
    <mergeCell ref="S137:S141"/>
    <mergeCell ref="M120:M123"/>
    <mergeCell ref="N120:N123"/>
    <mergeCell ref="O120:O123"/>
    <mergeCell ref="M124:M131"/>
    <mergeCell ref="N124:N131"/>
    <mergeCell ref="O124:O131"/>
    <mergeCell ref="M132:M136"/>
    <mergeCell ref="M71:M77"/>
    <mergeCell ref="M78:M83"/>
    <mergeCell ref="N78:N83"/>
    <mergeCell ref="M84:M90"/>
    <mergeCell ref="N84:N90"/>
    <mergeCell ref="M96:M101"/>
    <mergeCell ref="N96:N101"/>
    <mergeCell ref="M102:M108"/>
    <mergeCell ref="N102:N108"/>
    <mergeCell ref="S179:S182"/>
    <mergeCell ref="M184:M191"/>
    <mergeCell ref="N184:N191"/>
    <mergeCell ref="R187:R188"/>
    <mergeCell ref="M192:M199"/>
    <mergeCell ref="N192:N199"/>
    <mergeCell ref="R192:R195"/>
    <mergeCell ref="M167:M171"/>
    <mergeCell ref="N167:N171"/>
    <mergeCell ref="O167:O171"/>
    <mergeCell ref="M172:M178"/>
    <mergeCell ref="N172:N178"/>
    <mergeCell ref="O172:O178"/>
    <mergeCell ref="M179:M182"/>
    <mergeCell ref="M159:M163"/>
    <mergeCell ref="N159:N163"/>
    <mergeCell ref="O159:O163"/>
    <mergeCell ref="R161:R162"/>
    <mergeCell ref="M164:M166"/>
    <mergeCell ref="N164:N166"/>
    <mergeCell ref="O164:O166"/>
    <mergeCell ref="N179:N182"/>
    <mergeCell ref="O179:O182"/>
    <mergeCell ref="B109:B119"/>
    <mergeCell ref="B120:B123"/>
    <mergeCell ref="C120:C123"/>
    <mergeCell ref="D120:D123"/>
    <mergeCell ref="E120:E123"/>
    <mergeCell ref="F120:F123"/>
    <mergeCell ref="G120:G123"/>
    <mergeCell ref="N153:N158"/>
    <mergeCell ref="O153:O158"/>
    <mergeCell ref="M142:M145"/>
    <mergeCell ref="N142:N145"/>
    <mergeCell ref="O142:O145"/>
    <mergeCell ref="M146:M152"/>
    <mergeCell ref="N146:N152"/>
    <mergeCell ref="O146:O152"/>
    <mergeCell ref="M153:M158"/>
    <mergeCell ref="M109:M119"/>
    <mergeCell ref="N109:N119"/>
    <mergeCell ref="O109:O119"/>
    <mergeCell ref="C109:C119"/>
    <mergeCell ref="D109:D119"/>
    <mergeCell ref="E109:E119"/>
    <mergeCell ref="F109:F119"/>
    <mergeCell ref="G109:G119"/>
    <mergeCell ref="E71:E77"/>
    <mergeCell ref="F71:F77"/>
    <mergeCell ref="E78:E83"/>
    <mergeCell ref="F78:F83"/>
    <mergeCell ref="G78:G83"/>
    <mergeCell ref="G71:G77"/>
    <mergeCell ref="E84:E90"/>
    <mergeCell ref="F84:F90"/>
    <mergeCell ref="G84:G90"/>
    <mergeCell ref="C91:C95"/>
    <mergeCell ref="D91:D95"/>
    <mergeCell ref="E91:E95"/>
    <mergeCell ref="F91:F95"/>
    <mergeCell ref="G91:G95"/>
    <mergeCell ref="C78:C83"/>
    <mergeCell ref="D78:D83"/>
    <mergeCell ref="C84:C90"/>
    <mergeCell ref="D84:D90"/>
    <mergeCell ref="E102:E108"/>
    <mergeCell ref="R82:R83"/>
    <mergeCell ref="R89:R90"/>
    <mergeCell ref="B96:B101"/>
    <mergeCell ref="C96:C101"/>
    <mergeCell ref="D96:D101"/>
    <mergeCell ref="E96:E101"/>
    <mergeCell ref="F96:F101"/>
    <mergeCell ref="G96:G101"/>
    <mergeCell ref="B102:B108"/>
    <mergeCell ref="G102:G108"/>
    <mergeCell ref="C102:C108"/>
    <mergeCell ref="D102:D108"/>
    <mergeCell ref="B91:B95"/>
    <mergeCell ref="B78:B83"/>
    <mergeCell ref="B84:B90"/>
    <mergeCell ref="F102:F108"/>
    <mergeCell ref="O96:O101"/>
    <mergeCell ref="R100:R101"/>
    <mergeCell ref="O102:O108"/>
    <mergeCell ref="S50:S56"/>
    <mergeCell ref="B57:B61"/>
    <mergeCell ref="C57:C61"/>
    <mergeCell ref="D57:D61"/>
    <mergeCell ref="E57:E61"/>
    <mergeCell ref="F57:F61"/>
    <mergeCell ref="G57:G61"/>
    <mergeCell ref="M57:M61"/>
    <mergeCell ref="C71:C77"/>
    <mergeCell ref="D71:D77"/>
    <mergeCell ref="B62:B70"/>
    <mergeCell ref="C62:C70"/>
    <mergeCell ref="D62:D70"/>
    <mergeCell ref="E62:E70"/>
    <mergeCell ref="F62:F70"/>
    <mergeCell ref="G62:G70"/>
    <mergeCell ref="B71:B77"/>
    <mergeCell ref="N57:N61"/>
    <mergeCell ref="O57:O61"/>
    <mergeCell ref="M62:M70"/>
    <mergeCell ref="N62:N70"/>
    <mergeCell ref="S62:S70"/>
    <mergeCell ref="N71:N77"/>
    <mergeCell ref="R76:R77"/>
    <mergeCell ref="S39:S43"/>
    <mergeCell ref="B36:B38"/>
    <mergeCell ref="C36:C38"/>
    <mergeCell ref="D36:D38"/>
    <mergeCell ref="E36:E38"/>
    <mergeCell ref="F36:F38"/>
    <mergeCell ref="G36:G38"/>
    <mergeCell ref="M36:M38"/>
    <mergeCell ref="E44:E49"/>
    <mergeCell ref="F44:F49"/>
    <mergeCell ref="M44:M49"/>
    <mergeCell ref="N44:N49"/>
    <mergeCell ref="O44:O49"/>
    <mergeCell ref="R48:R49"/>
    <mergeCell ref="B50:B56"/>
    <mergeCell ref="C50:C56"/>
    <mergeCell ref="D50:D56"/>
    <mergeCell ref="E50:E56"/>
    <mergeCell ref="F50:F56"/>
    <mergeCell ref="N36:N38"/>
    <mergeCell ref="O36:O38"/>
    <mergeCell ref="M39:M43"/>
    <mergeCell ref="N39:N43"/>
    <mergeCell ref="G50:G56"/>
    <mergeCell ref="M50:M56"/>
    <mergeCell ref="N50:N56"/>
    <mergeCell ref="O50:O56"/>
    <mergeCell ref="B39:B43"/>
    <mergeCell ref="C39:C43"/>
    <mergeCell ref="D39:D43"/>
    <mergeCell ref="E39:E43"/>
    <mergeCell ref="F39:F43"/>
    <mergeCell ref="G39:G43"/>
    <mergeCell ref="B44:B49"/>
    <mergeCell ref="G44:G49"/>
    <mergeCell ref="C44:C49"/>
    <mergeCell ref="D44:D49"/>
    <mergeCell ref="F30:F35"/>
    <mergeCell ref="G30:G35"/>
    <mergeCell ref="M30:M35"/>
    <mergeCell ref="N30:N35"/>
    <mergeCell ref="S30:S35"/>
    <mergeCell ref="R34:R35"/>
    <mergeCell ref="C18:C25"/>
    <mergeCell ref="D18:D25"/>
    <mergeCell ref="B26:B29"/>
    <mergeCell ref="B30:B35"/>
    <mergeCell ref="C30:C35"/>
    <mergeCell ref="D30:D35"/>
    <mergeCell ref="E30:E35"/>
    <mergeCell ref="N26:N29"/>
    <mergeCell ref="O26:O29"/>
    <mergeCell ref="S26:S29"/>
    <mergeCell ref="E18:E25"/>
    <mergeCell ref="F18:F25"/>
    <mergeCell ref="M18:M25"/>
    <mergeCell ref="N18:N25"/>
    <mergeCell ref="O18:O25"/>
    <mergeCell ref="S18:S25"/>
    <mergeCell ref="R24:R25"/>
    <mergeCell ref="G167:G171"/>
    <mergeCell ref="M5:M10"/>
    <mergeCell ref="N5:N10"/>
    <mergeCell ref="M11:M17"/>
    <mergeCell ref="N11:N17"/>
    <mergeCell ref="O11:O17"/>
    <mergeCell ref="S11:S17"/>
    <mergeCell ref="R16:R17"/>
    <mergeCell ref="B1:R1"/>
    <mergeCell ref="B5:B10"/>
    <mergeCell ref="C5:C10"/>
    <mergeCell ref="D5:D10"/>
    <mergeCell ref="E5:E10"/>
    <mergeCell ref="F5:F10"/>
    <mergeCell ref="G5:G10"/>
    <mergeCell ref="B11:B17"/>
    <mergeCell ref="C11:C17"/>
    <mergeCell ref="D11:D17"/>
    <mergeCell ref="E11:E17"/>
    <mergeCell ref="F11:F17"/>
    <mergeCell ref="G11:G17"/>
    <mergeCell ref="B18:B25"/>
    <mergeCell ref="G18:G25"/>
    <mergeCell ref="M26:M29"/>
    <mergeCell ref="B146:B152"/>
    <mergeCell ref="C146:C152"/>
    <mergeCell ref="D146:D152"/>
    <mergeCell ref="E146:E152"/>
    <mergeCell ref="F146:F152"/>
    <mergeCell ref="G146:G152"/>
    <mergeCell ref="E159:E163"/>
    <mergeCell ref="F159:F163"/>
    <mergeCell ref="E164:E166"/>
    <mergeCell ref="F164:F166"/>
    <mergeCell ref="G164:G166"/>
    <mergeCell ref="B153:B158"/>
    <mergeCell ref="C153:C158"/>
    <mergeCell ref="D153:D158"/>
    <mergeCell ref="E153:E158"/>
    <mergeCell ref="F153:F158"/>
    <mergeCell ref="G153:G158"/>
    <mergeCell ref="B159:B163"/>
    <mergeCell ref="G159:G163"/>
    <mergeCell ref="E132:E136"/>
    <mergeCell ref="F132:F136"/>
    <mergeCell ref="E137:E141"/>
    <mergeCell ref="F137:F141"/>
    <mergeCell ref="G137:G141"/>
    <mergeCell ref="E142:E145"/>
    <mergeCell ref="F142:F145"/>
    <mergeCell ref="G142:G145"/>
    <mergeCell ref="B124:B131"/>
    <mergeCell ref="C124:C131"/>
    <mergeCell ref="D124:D131"/>
    <mergeCell ref="E124:E131"/>
    <mergeCell ref="F124:F131"/>
    <mergeCell ref="G124:G131"/>
    <mergeCell ref="B132:B136"/>
    <mergeCell ref="G132:G136"/>
    <mergeCell ref="C132:C136"/>
    <mergeCell ref="D132:D136"/>
    <mergeCell ref="B137:B141"/>
    <mergeCell ref="C137:C141"/>
    <mergeCell ref="D137:D141"/>
    <mergeCell ref="C142:C145"/>
    <mergeCell ref="D142:D145"/>
    <mergeCell ref="B142:B145"/>
    <mergeCell ref="G172:G178"/>
    <mergeCell ref="B179:B182"/>
    <mergeCell ref="G179:G182"/>
    <mergeCell ref="B184:B191"/>
    <mergeCell ref="B192:B199"/>
    <mergeCell ref="C192:C199"/>
    <mergeCell ref="D192:D199"/>
    <mergeCell ref="E192:E199"/>
    <mergeCell ref="F192:F199"/>
    <mergeCell ref="G192:G199"/>
    <mergeCell ref="C179:C182"/>
    <mergeCell ref="D179:D182"/>
    <mergeCell ref="C184:C191"/>
    <mergeCell ref="D184:D191"/>
    <mergeCell ref="E184:E191"/>
    <mergeCell ref="F184:F191"/>
    <mergeCell ref="G184:G191"/>
    <mergeCell ref="C159:C163"/>
    <mergeCell ref="D159:D163"/>
    <mergeCell ref="B164:B166"/>
    <mergeCell ref="C164:C166"/>
    <mergeCell ref="D164:D166"/>
    <mergeCell ref="B167:B171"/>
    <mergeCell ref="C167:C171"/>
    <mergeCell ref="E179:E182"/>
    <mergeCell ref="F179:F182"/>
    <mergeCell ref="B172:B178"/>
    <mergeCell ref="C172:C178"/>
    <mergeCell ref="D172:D178"/>
    <mergeCell ref="E172:E178"/>
    <mergeCell ref="F172:F178"/>
    <mergeCell ref="D167:D171"/>
    <mergeCell ref="E167:E171"/>
    <mergeCell ref="F167:F17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E1000"/>
  <sheetViews>
    <sheetView workbookViewId="0">
      <selection sqref="A1:C1"/>
    </sheetView>
  </sheetViews>
  <sheetFormatPr baseColWidth="10" defaultColWidth="12.5703125" defaultRowHeight="15" customHeight="1"/>
  <cols>
    <col min="1" max="1" width="20.85546875" customWidth="1"/>
    <col min="2" max="2" width="25.5703125" customWidth="1"/>
    <col min="3" max="3" width="33.42578125" customWidth="1"/>
    <col min="4" max="4" width="19.28515625" customWidth="1"/>
    <col min="5" max="6" width="26" customWidth="1"/>
    <col min="7" max="7" width="33" customWidth="1"/>
    <col min="8" max="8" width="23.7109375" customWidth="1"/>
    <col min="9" max="9" width="32.28515625" customWidth="1"/>
    <col min="10" max="10" width="57" customWidth="1"/>
    <col min="11" max="11" width="20.28515625" customWidth="1"/>
  </cols>
  <sheetData>
    <row r="1" spans="1:26" ht="15.75" customHeight="1">
      <c r="A1" s="646" t="s">
        <v>541</v>
      </c>
      <c r="B1" s="625"/>
      <c r="C1" s="626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647" t="s">
        <v>542</v>
      </c>
      <c r="B2" s="625"/>
      <c r="C2" s="626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648" t="s">
        <v>543</v>
      </c>
      <c r="B3" s="621"/>
      <c r="C3" s="508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648" t="s">
        <v>544</v>
      </c>
      <c r="B4" s="621"/>
      <c r="C4" s="508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282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649" t="s">
        <v>545</v>
      </c>
      <c r="B6" s="621"/>
      <c r="C6" s="621"/>
      <c r="D6" s="621"/>
      <c r="E6" s="621"/>
      <c r="F6" s="621"/>
      <c r="G6" s="621"/>
      <c r="H6" s="621"/>
      <c r="I6" s="621"/>
      <c r="J6" s="508"/>
      <c r="K6" s="282"/>
      <c r="L6" s="282"/>
      <c r="M6" s="28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284" t="s">
        <v>546</v>
      </c>
      <c r="B7" s="285" t="s">
        <v>0</v>
      </c>
      <c r="C7" s="285" t="s">
        <v>171</v>
      </c>
      <c r="D7" s="286" t="s">
        <v>547</v>
      </c>
      <c r="E7" s="287" t="s">
        <v>548</v>
      </c>
      <c r="F7" s="288" t="s">
        <v>549</v>
      </c>
      <c r="G7" s="289" t="s">
        <v>550</v>
      </c>
      <c r="H7" s="289" t="s">
        <v>551</v>
      </c>
      <c r="I7" s="289" t="s">
        <v>552</v>
      </c>
      <c r="J7" s="289" t="s">
        <v>553</v>
      </c>
      <c r="K7" s="282"/>
      <c r="L7" s="282"/>
      <c r="M7" s="28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90" t="s">
        <v>554</v>
      </c>
      <c r="B8" s="290" t="s">
        <v>87</v>
      </c>
      <c r="C8" s="290" t="s">
        <v>555</v>
      </c>
      <c r="D8" s="290" t="s">
        <v>173</v>
      </c>
      <c r="E8" s="291" t="s">
        <v>556</v>
      </c>
      <c r="F8" s="292">
        <v>1</v>
      </c>
      <c r="G8" s="292">
        <v>36</v>
      </c>
      <c r="H8" s="293">
        <v>46081</v>
      </c>
      <c r="I8" s="294">
        <v>0.1</v>
      </c>
      <c r="J8" s="295" t="s">
        <v>557</v>
      </c>
      <c r="K8" s="282"/>
      <c r="L8" s="282"/>
      <c r="M8" s="28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90" t="s">
        <v>558</v>
      </c>
      <c r="B9" s="296" t="s">
        <v>559</v>
      </c>
      <c r="C9" s="290" t="s">
        <v>560</v>
      </c>
      <c r="D9" s="290" t="s">
        <v>173</v>
      </c>
      <c r="E9" s="297" t="s">
        <v>556</v>
      </c>
      <c r="F9" s="298">
        <v>1</v>
      </c>
      <c r="G9" s="298">
        <v>36</v>
      </c>
      <c r="H9" s="299">
        <v>46081</v>
      </c>
      <c r="I9" s="294">
        <v>0.1</v>
      </c>
      <c r="J9" s="300" t="s">
        <v>561</v>
      </c>
      <c r="K9" s="282"/>
      <c r="L9" s="282"/>
      <c r="M9" s="28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90" t="s">
        <v>558</v>
      </c>
      <c r="B10" s="290" t="s">
        <v>4</v>
      </c>
      <c r="C10" s="290" t="s">
        <v>562</v>
      </c>
      <c r="D10" s="290" t="s">
        <v>173</v>
      </c>
      <c r="E10" s="297" t="s">
        <v>556</v>
      </c>
      <c r="F10" s="290">
        <v>1</v>
      </c>
      <c r="G10" s="297">
        <v>36</v>
      </c>
      <c r="H10" s="299">
        <v>46446</v>
      </c>
      <c r="I10" s="294">
        <v>0.1</v>
      </c>
      <c r="J10" s="301" t="s">
        <v>563</v>
      </c>
      <c r="K10" s="282"/>
      <c r="L10" s="282"/>
      <c r="M10" s="28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90" t="s">
        <v>558</v>
      </c>
      <c r="B11" s="290" t="s">
        <v>4</v>
      </c>
      <c r="C11" s="290" t="s">
        <v>564</v>
      </c>
      <c r="D11" s="290" t="s">
        <v>173</v>
      </c>
      <c r="E11" s="297" t="s">
        <v>556</v>
      </c>
      <c r="F11" s="290">
        <v>1</v>
      </c>
      <c r="G11" s="297">
        <v>36</v>
      </c>
      <c r="H11" s="299">
        <v>46081</v>
      </c>
      <c r="I11" s="294">
        <v>0.1</v>
      </c>
      <c r="J11" s="301" t="s">
        <v>565</v>
      </c>
      <c r="K11" s="282"/>
      <c r="L11" s="282"/>
      <c r="M11" s="28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302" t="s">
        <v>558</v>
      </c>
      <c r="B12" s="303" t="s">
        <v>16</v>
      </c>
      <c r="C12" s="303" t="s">
        <v>566</v>
      </c>
      <c r="D12" s="303" t="s">
        <v>173</v>
      </c>
      <c r="E12" s="304" t="s">
        <v>556</v>
      </c>
      <c r="F12" s="302">
        <v>1</v>
      </c>
      <c r="G12" s="297">
        <v>36</v>
      </c>
      <c r="H12" s="299">
        <v>46081</v>
      </c>
      <c r="I12" s="294">
        <v>0.1</v>
      </c>
      <c r="J12" s="301" t="s">
        <v>567</v>
      </c>
      <c r="K12" s="282"/>
      <c r="L12" s="282"/>
      <c r="M12" s="28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90" t="s">
        <v>558</v>
      </c>
      <c r="B13" s="305" t="s">
        <v>16</v>
      </c>
      <c r="C13" s="291" t="s">
        <v>568</v>
      </c>
      <c r="D13" s="290" t="s">
        <v>173</v>
      </c>
      <c r="E13" s="291" t="s">
        <v>556</v>
      </c>
      <c r="F13" s="290">
        <v>1</v>
      </c>
      <c r="G13" s="297">
        <v>36</v>
      </c>
      <c r="H13" s="299">
        <v>46081</v>
      </c>
      <c r="I13" s="294">
        <v>0.1</v>
      </c>
      <c r="J13" s="300" t="s">
        <v>569</v>
      </c>
      <c r="K13" s="282"/>
      <c r="L13" s="283"/>
      <c r="M13" s="28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306" t="s">
        <v>558</v>
      </c>
      <c r="B14" s="296" t="s">
        <v>559</v>
      </c>
      <c r="C14" s="297" t="s">
        <v>570</v>
      </c>
      <c r="D14" s="307" t="s">
        <v>571</v>
      </c>
      <c r="E14" s="297" t="s">
        <v>572</v>
      </c>
      <c r="F14" s="306">
        <v>19</v>
      </c>
      <c r="G14" s="297" t="s">
        <v>573</v>
      </c>
      <c r="H14" s="299" t="s">
        <v>574</v>
      </c>
      <c r="I14" s="294">
        <v>0.1</v>
      </c>
      <c r="J14" s="300" t="s">
        <v>575</v>
      </c>
      <c r="K14" s="282"/>
      <c r="L14" s="283"/>
      <c r="M14" s="28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290" t="s">
        <v>558</v>
      </c>
      <c r="B15" s="290" t="s">
        <v>12</v>
      </c>
      <c r="C15" s="290" t="s">
        <v>576</v>
      </c>
      <c r="D15" s="290" t="s">
        <v>173</v>
      </c>
      <c r="E15" s="297" t="s">
        <v>556</v>
      </c>
      <c r="F15" s="290">
        <v>1</v>
      </c>
      <c r="G15" s="297">
        <v>36</v>
      </c>
      <c r="H15" s="299">
        <v>46081</v>
      </c>
      <c r="I15" s="294">
        <v>0.1</v>
      </c>
      <c r="J15" s="300" t="s">
        <v>577</v>
      </c>
      <c r="K15" s="282"/>
      <c r="L15" s="283"/>
      <c r="M15" s="28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290" t="s">
        <v>558</v>
      </c>
      <c r="B16" s="290" t="s">
        <v>11</v>
      </c>
      <c r="C16" s="290" t="s">
        <v>578</v>
      </c>
      <c r="D16" s="307" t="s">
        <v>571</v>
      </c>
      <c r="E16" s="297" t="s">
        <v>572</v>
      </c>
      <c r="F16" s="290">
        <v>7</v>
      </c>
      <c r="G16" s="297" t="s">
        <v>579</v>
      </c>
      <c r="H16" s="299">
        <v>46265</v>
      </c>
      <c r="I16" s="294">
        <v>0.1</v>
      </c>
      <c r="J16" s="301" t="s">
        <v>580</v>
      </c>
      <c r="K16" s="282"/>
      <c r="L16" s="283"/>
      <c r="M16" s="28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31" ht="15.75" customHeight="1">
      <c r="A17" s="282"/>
      <c r="B17" s="282"/>
      <c r="C17" s="282"/>
      <c r="D17" s="282"/>
      <c r="E17" s="282"/>
      <c r="F17" s="282"/>
      <c r="G17" s="282"/>
      <c r="H17" s="282"/>
      <c r="I17" s="282"/>
      <c r="J17" s="282"/>
      <c r="K17" s="282"/>
      <c r="L17" s="283"/>
      <c r="M17" s="28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31" ht="15.75" customHeight="1">
      <c r="A18" s="282"/>
      <c r="B18" s="282"/>
      <c r="C18" s="282"/>
      <c r="D18" s="282"/>
      <c r="E18" s="282"/>
      <c r="F18" s="282"/>
      <c r="G18" s="282"/>
      <c r="H18" s="282"/>
      <c r="I18" s="282"/>
      <c r="J18" s="282"/>
      <c r="K18" s="282"/>
      <c r="L18" s="283"/>
      <c r="M18" s="28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31" ht="15.75" customHeight="1">
      <c r="A19" s="282"/>
      <c r="B19" s="282"/>
      <c r="C19" s="282"/>
      <c r="D19" s="282"/>
      <c r="E19" s="282"/>
      <c r="F19" s="282"/>
      <c r="G19" s="282"/>
      <c r="H19" s="282"/>
      <c r="I19" s="282"/>
      <c r="J19" s="282"/>
      <c r="K19" s="282"/>
      <c r="L19" s="283"/>
      <c r="M19" s="28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31" ht="15.75" customHeight="1">
      <c r="A20" s="282"/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3"/>
      <c r="M20" s="28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31" ht="15.75" customHeight="1">
      <c r="A21" s="282"/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31" ht="15.75" customHeight="1">
      <c r="A23" s="652" t="s">
        <v>581</v>
      </c>
      <c r="B23" s="621"/>
      <c r="C23" s="621"/>
      <c r="D23" s="508"/>
      <c r="E23" s="650" t="s">
        <v>582</v>
      </c>
      <c r="F23" s="621"/>
      <c r="G23" s="508"/>
      <c r="H23" s="308"/>
      <c r="I23" s="308"/>
      <c r="J23" s="651"/>
      <c r="K23" s="503"/>
      <c r="L23" s="308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</row>
    <row r="24" spans="1:31" ht="15.75" customHeight="1">
      <c r="A24" s="653" t="s">
        <v>583</v>
      </c>
      <c r="B24" s="625"/>
      <c r="C24" s="625"/>
      <c r="D24" s="626"/>
      <c r="E24" s="654" t="s">
        <v>584</v>
      </c>
      <c r="F24" s="625"/>
      <c r="G24" s="626"/>
      <c r="H24" s="308"/>
      <c r="I24" s="308"/>
      <c r="J24" s="655"/>
      <c r="K24" s="503"/>
      <c r="L24" s="308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  <c r="AA24" s="309"/>
      <c r="AB24" s="309"/>
      <c r="AC24" s="309"/>
      <c r="AD24" s="309"/>
      <c r="AE24" s="309"/>
    </row>
    <row r="25" spans="1:31" ht="15.75" customHeight="1">
      <c r="A25" s="656" t="s">
        <v>585</v>
      </c>
      <c r="B25" s="502"/>
      <c r="C25" s="502"/>
      <c r="D25" s="503"/>
      <c r="E25" s="655" t="s">
        <v>586</v>
      </c>
      <c r="F25" s="502"/>
      <c r="G25" s="503"/>
      <c r="H25" s="308"/>
      <c r="I25" s="308"/>
      <c r="J25" s="655"/>
      <c r="K25" s="503"/>
      <c r="L25" s="308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</row>
    <row r="26" spans="1:31" ht="15.75" customHeight="1">
      <c r="A26" s="656" t="s">
        <v>587</v>
      </c>
      <c r="B26" s="502"/>
      <c r="C26" s="502"/>
      <c r="D26" s="503"/>
      <c r="E26" s="655" t="s">
        <v>588</v>
      </c>
      <c r="F26" s="502"/>
      <c r="G26" s="503"/>
      <c r="H26" s="308"/>
      <c r="I26" s="308"/>
      <c r="J26" s="309"/>
      <c r="K26" s="309"/>
      <c r="L26" s="308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309"/>
      <c r="AE26" s="309"/>
    </row>
    <row r="27" spans="1:31" ht="15.75" customHeight="1">
      <c r="A27" s="655"/>
      <c r="B27" s="502"/>
      <c r="C27" s="502"/>
      <c r="D27" s="503"/>
      <c r="E27" s="310"/>
      <c r="F27" s="311"/>
      <c r="G27" s="309"/>
      <c r="H27" s="309"/>
      <c r="I27" s="309"/>
      <c r="J27" s="309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</row>
    <row r="28" spans="1:31" ht="15.75" customHeight="1">
      <c r="A28" s="652" t="s">
        <v>589</v>
      </c>
      <c r="B28" s="621"/>
      <c r="C28" s="621"/>
      <c r="D28" s="508"/>
      <c r="E28" s="309"/>
      <c r="F28" s="659" t="s">
        <v>590</v>
      </c>
      <c r="G28" s="625"/>
      <c r="H28" s="625"/>
      <c r="I28" s="625"/>
      <c r="J28" s="625"/>
      <c r="K28" s="626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309"/>
      <c r="AE28" s="309"/>
    </row>
    <row r="29" spans="1:31" ht="15.75" customHeight="1">
      <c r="A29" s="653" t="s">
        <v>591</v>
      </c>
      <c r="B29" s="625"/>
      <c r="C29" s="625"/>
      <c r="D29" s="626"/>
      <c r="E29" s="309"/>
      <c r="F29" s="660" t="s">
        <v>592</v>
      </c>
      <c r="G29" s="661"/>
      <c r="H29" s="661"/>
      <c r="I29" s="662"/>
      <c r="J29" s="664" t="s">
        <v>593</v>
      </c>
      <c r="K29" s="662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  <c r="AA29" s="309"/>
      <c r="AB29" s="309"/>
      <c r="AC29" s="309"/>
      <c r="AD29" s="309"/>
      <c r="AE29" s="309"/>
    </row>
    <row r="30" spans="1:31" ht="15.75" customHeight="1">
      <c r="A30" s="656" t="s">
        <v>594</v>
      </c>
      <c r="B30" s="502"/>
      <c r="C30" s="502"/>
      <c r="D30" s="503"/>
      <c r="E30" s="309"/>
      <c r="F30" s="663"/>
      <c r="G30" s="502"/>
      <c r="H30" s="502"/>
      <c r="I30" s="503"/>
      <c r="J30" s="665"/>
      <c r="K30" s="503"/>
      <c r="L30" s="309"/>
      <c r="M30" s="309"/>
      <c r="N30" s="309"/>
      <c r="O30" s="309"/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  <c r="AA30" s="309"/>
      <c r="AB30" s="309"/>
      <c r="AC30" s="309"/>
      <c r="AD30" s="309"/>
      <c r="AE30" s="309"/>
    </row>
    <row r="31" spans="1:31" ht="15.75" customHeight="1">
      <c r="A31" s="312"/>
      <c r="B31" s="312"/>
      <c r="C31" s="312"/>
      <c r="D31" s="312"/>
      <c r="E31" s="309"/>
      <c r="F31" s="657" t="s">
        <v>595</v>
      </c>
      <c r="G31" s="625"/>
      <c r="H31" s="625"/>
      <c r="I31" s="626"/>
      <c r="J31" s="658" t="s">
        <v>596</v>
      </c>
      <c r="K31" s="626"/>
      <c r="L31" s="309"/>
      <c r="M31" s="309"/>
      <c r="N31" s="309"/>
      <c r="O31" s="309"/>
      <c r="P31" s="309"/>
      <c r="Q31" s="309"/>
      <c r="R31" s="309"/>
      <c r="S31" s="309"/>
      <c r="T31" s="309"/>
      <c r="U31" s="309"/>
      <c r="V31" s="309"/>
      <c r="W31" s="309"/>
      <c r="X31" s="309"/>
      <c r="Y31" s="309"/>
      <c r="Z31" s="309"/>
      <c r="AA31" s="309"/>
      <c r="AB31" s="309"/>
      <c r="AC31" s="309"/>
      <c r="AD31" s="309"/>
      <c r="AE31" s="309"/>
    </row>
    <row r="32" spans="1:31" ht="15.75" customHeight="1">
      <c r="A32" s="313"/>
      <c r="B32" s="314" t="s">
        <v>546</v>
      </c>
      <c r="C32" s="315" t="s">
        <v>0</v>
      </c>
      <c r="D32" s="315" t="s">
        <v>597</v>
      </c>
      <c r="E32" s="316" t="s">
        <v>59</v>
      </c>
      <c r="F32" s="317" t="s">
        <v>598</v>
      </c>
      <c r="G32" s="317" t="s">
        <v>599</v>
      </c>
      <c r="H32" s="317" t="s">
        <v>600</v>
      </c>
      <c r="I32" s="317" t="s">
        <v>601</v>
      </c>
      <c r="J32" s="318" t="s">
        <v>602</v>
      </c>
      <c r="K32" s="319" t="s">
        <v>603</v>
      </c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  <c r="AA32" s="309"/>
      <c r="AB32" s="309"/>
      <c r="AC32" s="309"/>
      <c r="AD32" s="309"/>
      <c r="AE32" s="309"/>
    </row>
    <row r="33" spans="1:31" ht="15.75" customHeight="1">
      <c r="A33" s="311"/>
      <c r="B33" s="320" t="s">
        <v>554</v>
      </c>
      <c r="C33" s="320" t="s">
        <v>87</v>
      </c>
      <c r="D33" s="300" t="s">
        <v>555</v>
      </c>
      <c r="E33" s="321" t="s">
        <v>173</v>
      </c>
      <c r="F33" s="322" t="s">
        <v>196</v>
      </c>
      <c r="G33" s="322" t="s">
        <v>196</v>
      </c>
      <c r="H33" s="322" t="s">
        <v>196</v>
      </c>
      <c r="I33" s="322" t="s">
        <v>196</v>
      </c>
      <c r="J33" s="323" t="s">
        <v>604</v>
      </c>
      <c r="K33" s="323" t="s">
        <v>604</v>
      </c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1"/>
      <c r="AD33" s="311"/>
      <c r="AE33" s="311"/>
    </row>
    <row r="34" spans="1:31" ht="15.75" customHeight="1">
      <c r="A34" s="311"/>
      <c r="B34" s="320" t="s">
        <v>558</v>
      </c>
      <c r="C34" s="320" t="s">
        <v>559</v>
      </c>
      <c r="D34" s="300" t="s">
        <v>560</v>
      </c>
      <c r="E34" s="321" t="s">
        <v>173</v>
      </c>
      <c r="F34" s="322" t="s">
        <v>196</v>
      </c>
      <c r="G34" s="322" t="s">
        <v>196</v>
      </c>
      <c r="H34" s="322" t="s">
        <v>196</v>
      </c>
      <c r="I34" s="322" t="s">
        <v>196</v>
      </c>
      <c r="J34" s="323" t="s">
        <v>605</v>
      </c>
      <c r="K34" s="323" t="s">
        <v>605</v>
      </c>
      <c r="L34" s="311"/>
      <c r="M34" s="311"/>
      <c r="N34" s="311"/>
      <c r="O34" s="311"/>
      <c r="P34" s="311"/>
      <c r="Q34" s="311"/>
      <c r="R34" s="311"/>
      <c r="S34" s="311"/>
      <c r="T34" s="311"/>
      <c r="U34" s="311"/>
      <c r="V34" s="311"/>
      <c r="W34" s="311"/>
      <c r="X34" s="311"/>
      <c r="Y34" s="311"/>
      <c r="Z34" s="311"/>
      <c r="AA34" s="311"/>
      <c r="AB34" s="311"/>
      <c r="AC34" s="311"/>
      <c r="AD34" s="311"/>
      <c r="AE34" s="311"/>
    </row>
    <row r="35" spans="1:31" ht="15.75" customHeight="1">
      <c r="A35" s="311"/>
      <c r="B35" s="320" t="s">
        <v>558</v>
      </c>
      <c r="C35" s="320" t="s">
        <v>4</v>
      </c>
      <c r="D35" s="300" t="s">
        <v>562</v>
      </c>
      <c r="E35" s="321" t="s">
        <v>173</v>
      </c>
      <c r="F35" s="322" t="s">
        <v>196</v>
      </c>
      <c r="G35" s="322" t="s">
        <v>196</v>
      </c>
      <c r="H35" s="322" t="s">
        <v>196</v>
      </c>
      <c r="I35" s="322" t="s">
        <v>196</v>
      </c>
      <c r="J35" s="323" t="s">
        <v>605</v>
      </c>
      <c r="K35" s="323" t="s">
        <v>605</v>
      </c>
      <c r="L35" s="311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  <c r="X35" s="311"/>
      <c r="Y35" s="311"/>
      <c r="Z35" s="311"/>
      <c r="AA35" s="311"/>
      <c r="AB35" s="311"/>
      <c r="AC35" s="311"/>
      <c r="AD35" s="311"/>
      <c r="AE35" s="311"/>
    </row>
    <row r="36" spans="1:31" ht="15.75" customHeight="1">
      <c r="A36" s="311"/>
      <c r="B36" s="320" t="s">
        <v>558</v>
      </c>
      <c r="C36" s="320" t="s">
        <v>4</v>
      </c>
      <c r="D36" s="300" t="s">
        <v>564</v>
      </c>
      <c r="E36" s="321" t="s">
        <v>173</v>
      </c>
      <c r="F36" s="322" t="s">
        <v>196</v>
      </c>
      <c r="G36" s="322" t="s">
        <v>196</v>
      </c>
      <c r="H36" s="322" t="s">
        <v>196</v>
      </c>
      <c r="I36" s="322" t="s">
        <v>196</v>
      </c>
      <c r="J36" s="323" t="s">
        <v>605</v>
      </c>
      <c r="K36" s="323" t="s">
        <v>605</v>
      </c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1"/>
      <c r="AC36" s="311"/>
      <c r="AD36" s="311"/>
      <c r="AE36" s="311"/>
    </row>
    <row r="37" spans="1:31" ht="15.75" customHeight="1">
      <c r="A37" s="313"/>
      <c r="B37" s="320" t="s">
        <v>558</v>
      </c>
      <c r="C37" s="320" t="s">
        <v>16</v>
      </c>
      <c r="D37" s="300" t="s">
        <v>566</v>
      </c>
      <c r="E37" s="321" t="s">
        <v>173</v>
      </c>
      <c r="F37" s="322" t="s">
        <v>196</v>
      </c>
      <c r="G37" s="322" t="s">
        <v>196</v>
      </c>
      <c r="H37" s="322" t="s">
        <v>196</v>
      </c>
      <c r="I37" s="322" t="s">
        <v>196</v>
      </c>
      <c r="J37" s="323" t="s">
        <v>605</v>
      </c>
      <c r="K37" s="323" t="s">
        <v>605</v>
      </c>
      <c r="L37" s="309"/>
      <c r="M37" s="309"/>
      <c r="N37" s="309"/>
      <c r="O37" s="309"/>
      <c r="P37" s="309"/>
      <c r="Q37" s="309"/>
      <c r="R37" s="309"/>
      <c r="S37" s="309"/>
      <c r="T37" s="309"/>
      <c r="U37" s="313"/>
      <c r="V37" s="309"/>
      <c r="W37" s="309"/>
      <c r="X37" s="309"/>
      <c r="Y37" s="309"/>
      <c r="Z37" s="309"/>
      <c r="AA37" s="309"/>
      <c r="AB37" s="309"/>
      <c r="AC37" s="309"/>
      <c r="AD37" s="309"/>
      <c r="AE37" s="309"/>
    </row>
    <row r="38" spans="1:31" ht="15.75" customHeight="1">
      <c r="A38" s="313"/>
      <c r="B38" s="320" t="s">
        <v>558</v>
      </c>
      <c r="C38" s="320" t="s">
        <v>16</v>
      </c>
      <c r="D38" s="300" t="s">
        <v>568</v>
      </c>
      <c r="E38" s="321" t="s">
        <v>173</v>
      </c>
      <c r="F38" s="322" t="s">
        <v>196</v>
      </c>
      <c r="G38" s="322" t="s">
        <v>196</v>
      </c>
      <c r="H38" s="322" t="s">
        <v>196</v>
      </c>
      <c r="I38" s="322" t="s">
        <v>196</v>
      </c>
      <c r="J38" s="323" t="s">
        <v>605</v>
      </c>
      <c r="K38" s="323" t="s">
        <v>605</v>
      </c>
      <c r="L38" s="309"/>
      <c r="M38" s="309"/>
      <c r="N38" s="309"/>
      <c r="O38" s="309"/>
      <c r="P38" s="309"/>
      <c r="Q38" s="309"/>
      <c r="R38" s="309"/>
      <c r="S38" s="309"/>
      <c r="T38" s="309"/>
      <c r="U38" s="313"/>
      <c r="V38" s="309"/>
      <c r="W38" s="309"/>
      <c r="X38" s="309"/>
      <c r="Y38" s="309"/>
      <c r="Z38" s="309"/>
      <c r="AA38" s="309"/>
      <c r="AB38" s="309"/>
      <c r="AC38" s="309"/>
      <c r="AD38" s="309"/>
      <c r="AE38" s="309"/>
    </row>
    <row r="39" spans="1:31" ht="15.75" customHeight="1">
      <c r="A39" s="313"/>
      <c r="B39" s="320" t="s">
        <v>558</v>
      </c>
      <c r="C39" s="320" t="s">
        <v>559</v>
      </c>
      <c r="D39" s="300" t="s">
        <v>570</v>
      </c>
      <c r="E39" s="324" t="s">
        <v>571</v>
      </c>
      <c r="F39" s="322" t="s">
        <v>196</v>
      </c>
      <c r="G39" s="322" t="s">
        <v>196</v>
      </c>
      <c r="H39" s="322" t="s">
        <v>196</v>
      </c>
      <c r="I39" s="322" t="s">
        <v>604</v>
      </c>
      <c r="J39" s="323" t="s">
        <v>605</v>
      </c>
      <c r="K39" s="323" t="s">
        <v>605</v>
      </c>
      <c r="L39" s="309"/>
      <c r="M39" s="309"/>
      <c r="N39" s="309"/>
      <c r="O39" s="309"/>
      <c r="P39" s="309"/>
      <c r="Q39" s="309"/>
      <c r="R39" s="309"/>
      <c r="S39" s="309"/>
      <c r="T39" s="309"/>
      <c r="U39" s="313"/>
      <c r="V39" s="325"/>
      <c r="W39" s="325"/>
      <c r="X39" s="309"/>
      <c r="Y39" s="325"/>
      <c r="Z39" s="309"/>
      <c r="AA39" s="309"/>
      <c r="AB39" s="309"/>
      <c r="AC39" s="309"/>
      <c r="AD39" s="309"/>
      <c r="AE39" s="309"/>
    </row>
    <row r="40" spans="1:31" ht="15.75" customHeight="1">
      <c r="A40" s="313"/>
      <c r="B40" s="320" t="s">
        <v>558</v>
      </c>
      <c r="C40" s="320" t="s">
        <v>12</v>
      </c>
      <c r="D40" s="300" t="s">
        <v>576</v>
      </c>
      <c r="E40" s="321" t="s">
        <v>173</v>
      </c>
      <c r="F40" s="322" t="s">
        <v>196</v>
      </c>
      <c r="G40" s="322" t="s">
        <v>196</v>
      </c>
      <c r="H40" s="322" t="s">
        <v>196</v>
      </c>
      <c r="I40" s="322" t="s">
        <v>196</v>
      </c>
      <c r="J40" s="323" t="s">
        <v>605</v>
      </c>
      <c r="K40" s="323" t="s">
        <v>605</v>
      </c>
      <c r="L40" s="309"/>
      <c r="M40" s="309"/>
      <c r="N40" s="309"/>
      <c r="O40" s="309"/>
      <c r="P40" s="309"/>
      <c r="Q40" s="309"/>
      <c r="R40" s="309"/>
      <c r="S40" s="309"/>
      <c r="T40" s="309"/>
      <c r="U40" s="313"/>
      <c r="V40" s="309"/>
      <c r="W40" s="309"/>
      <c r="X40" s="309"/>
      <c r="Y40" s="309"/>
      <c r="Z40" s="309"/>
      <c r="AA40" s="309"/>
      <c r="AB40" s="309"/>
      <c r="AC40" s="309"/>
      <c r="AD40" s="309"/>
      <c r="AE40" s="309"/>
    </row>
    <row r="41" spans="1:31" ht="15.75" customHeight="1">
      <c r="A41" s="313"/>
      <c r="B41" s="320" t="s">
        <v>558</v>
      </c>
      <c r="C41" s="320" t="s">
        <v>11</v>
      </c>
      <c r="D41" s="300" t="s">
        <v>578</v>
      </c>
      <c r="E41" s="324" t="s">
        <v>571</v>
      </c>
      <c r="F41" s="322" t="s">
        <v>196</v>
      </c>
      <c r="G41" s="322" t="s">
        <v>604</v>
      </c>
      <c r="H41" s="322" t="s">
        <v>604</v>
      </c>
      <c r="I41" s="322" t="s">
        <v>196</v>
      </c>
      <c r="J41" s="323" t="s">
        <v>605</v>
      </c>
      <c r="K41" s="323" t="s">
        <v>605</v>
      </c>
      <c r="L41" s="309"/>
      <c r="M41" s="309"/>
      <c r="N41" s="309"/>
      <c r="O41" s="309"/>
      <c r="P41" s="309"/>
      <c r="Q41" s="309"/>
      <c r="R41" s="309"/>
      <c r="S41" s="309"/>
      <c r="T41" s="309"/>
      <c r="U41" s="313"/>
      <c r="V41" s="309"/>
      <c r="W41" s="309"/>
      <c r="X41" s="309"/>
      <c r="Y41" s="309"/>
      <c r="Z41" s="309"/>
      <c r="AA41" s="309"/>
      <c r="AB41" s="309"/>
      <c r="AC41" s="309"/>
      <c r="AD41" s="309"/>
      <c r="AE41" s="309"/>
    </row>
    <row r="42" spans="1:31" ht="15.75" customHeight="1">
      <c r="A42" s="313"/>
      <c r="B42" s="325"/>
      <c r="C42" s="309"/>
      <c r="D42" s="309"/>
      <c r="E42" s="313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  <c r="AA42" s="309"/>
      <c r="AB42" s="309"/>
      <c r="AC42" s="309"/>
      <c r="AD42" s="309"/>
      <c r="AE42" s="309"/>
    </row>
    <row r="43" spans="1:31" ht="15.75" customHeight="1">
      <c r="A43" s="326"/>
      <c r="B43" s="327"/>
      <c r="C43" s="328"/>
      <c r="D43" s="328"/>
      <c r="E43" s="326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09"/>
      <c r="W43" s="309"/>
      <c r="X43" s="309"/>
      <c r="Y43" s="309"/>
      <c r="Z43" s="309"/>
      <c r="AA43" s="309"/>
      <c r="AB43" s="309"/>
      <c r="AC43" s="309"/>
      <c r="AD43" s="309"/>
      <c r="AE43" s="309"/>
    </row>
    <row r="44" spans="1:31" ht="15.75" customHeight="1">
      <c r="A44" s="326"/>
      <c r="B44" s="327"/>
      <c r="C44" s="328"/>
      <c r="D44" s="328"/>
      <c r="E44" s="328"/>
      <c r="F44" s="328"/>
      <c r="G44" s="328"/>
      <c r="H44" s="326"/>
      <c r="I44" s="326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09"/>
      <c r="W44" s="309"/>
      <c r="X44" s="309"/>
      <c r="Y44" s="309"/>
      <c r="Z44" s="309"/>
      <c r="AA44" s="309"/>
      <c r="AB44" s="309"/>
      <c r="AC44" s="309"/>
      <c r="AD44" s="309"/>
      <c r="AE44" s="309"/>
    </row>
    <row r="45" spans="1:31" ht="15.75" customHeight="1">
      <c r="A45" s="666" t="s">
        <v>606</v>
      </c>
      <c r="B45" s="621"/>
      <c r="C45" s="621"/>
      <c r="D45" s="621"/>
      <c r="E45" s="621"/>
      <c r="F45" s="508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</row>
    <row r="46" spans="1:31" ht="15.75" customHeight="1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</row>
    <row r="47" spans="1:31" ht="15.75" customHeight="1">
      <c r="A47" s="617" t="s">
        <v>607</v>
      </c>
      <c r="B47" s="502"/>
      <c r="C47" s="502"/>
      <c r="D47" s="502"/>
      <c r="E47" s="502"/>
      <c r="F47" s="502"/>
      <c r="G47" s="502"/>
      <c r="H47" s="502"/>
      <c r="I47" s="502"/>
      <c r="J47" s="502"/>
      <c r="K47" s="502"/>
      <c r="L47" s="502"/>
      <c r="M47" s="502"/>
      <c r="N47" s="502"/>
      <c r="O47" s="502"/>
      <c r="P47" s="503"/>
      <c r="Q47" s="329"/>
      <c r="R47" s="329"/>
      <c r="S47" s="329"/>
      <c r="T47" s="329"/>
      <c r="U47" s="329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</row>
    <row r="48" spans="1:31" ht="15.75" customHeight="1">
      <c r="A48" s="617" t="s">
        <v>608</v>
      </c>
      <c r="B48" s="502"/>
      <c r="C48" s="502"/>
      <c r="D48" s="502"/>
      <c r="E48" s="503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</row>
    <row r="49" spans="1:31" ht="15.75" customHeight="1">
      <c r="A49" s="617" t="s">
        <v>609</v>
      </c>
      <c r="B49" s="502"/>
      <c r="C49" s="502"/>
      <c r="D49" s="502"/>
      <c r="E49" s="502"/>
      <c r="F49" s="502"/>
      <c r="G49" s="502"/>
      <c r="H49" s="502"/>
      <c r="I49" s="502"/>
      <c r="J49" s="502"/>
      <c r="K49" s="503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</row>
    <row r="50" spans="1:31" ht="15.75" customHeight="1">
      <c r="A50" s="617" t="s">
        <v>610</v>
      </c>
      <c r="B50" s="502"/>
      <c r="C50" s="502"/>
      <c r="D50" s="502"/>
      <c r="E50" s="503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</row>
    <row r="51" spans="1:31" ht="15.75" customHeight="1">
      <c r="A51" s="617" t="s">
        <v>611</v>
      </c>
      <c r="B51" s="502"/>
      <c r="C51" s="502"/>
      <c r="D51" s="502"/>
      <c r="E51" s="502"/>
      <c r="F51" s="502"/>
      <c r="G51" s="502"/>
      <c r="H51" s="502"/>
      <c r="I51" s="503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</row>
    <row r="52" spans="1:31" ht="15.75" customHeight="1">
      <c r="A52" s="617" t="s">
        <v>612</v>
      </c>
      <c r="B52" s="502"/>
      <c r="C52" s="502"/>
      <c r="D52" s="502"/>
      <c r="E52" s="502"/>
      <c r="F52" s="502"/>
      <c r="G52" s="502"/>
      <c r="H52" s="502"/>
      <c r="I52" s="502"/>
      <c r="J52" s="503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</row>
    <row r="53" spans="1:31" ht="15.75" customHeight="1">
      <c r="A53" s="617" t="s">
        <v>613</v>
      </c>
      <c r="B53" s="502"/>
      <c r="C53" s="502"/>
      <c r="D53" s="502"/>
      <c r="E53" s="502"/>
      <c r="F53" s="502"/>
      <c r="G53" s="502"/>
      <c r="H53" s="502"/>
      <c r="I53" s="502"/>
      <c r="J53" s="502"/>
      <c r="K53" s="503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</row>
    <row r="54" spans="1:31" ht="15.75" customHeight="1">
      <c r="A54" s="329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</row>
    <row r="55" spans="1:31" ht="15.75" customHeight="1">
      <c r="A55" s="666" t="s">
        <v>614</v>
      </c>
      <c r="B55" s="621"/>
      <c r="C55" s="621"/>
      <c r="D55" s="621"/>
      <c r="E55" s="621"/>
      <c r="F55" s="508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</row>
    <row r="56" spans="1:31" ht="15.75" customHeight="1">
      <c r="A56" s="329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</row>
    <row r="57" spans="1:31" ht="15.75" customHeight="1">
      <c r="A57" s="616" t="s">
        <v>615</v>
      </c>
      <c r="B57" s="502"/>
      <c r="C57" s="502"/>
      <c r="D57" s="502"/>
      <c r="E57" s="502"/>
      <c r="F57" s="503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30"/>
      <c r="S57" s="330"/>
      <c r="T57" s="330"/>
      <c r="U57" s="330"/>
      <c r="V57" s="330"/>
      <c r="W57" s="282"/>
      <c r="X57" s="282"/>
      <c r="Y57" s="282"/>
      <c r="Z57" s="282"/>
      <c r="AA57" s="282"/>
      <c r="AB57" s="282"/>
      <c r="AC57" s="282"/>
      <c r="AD57" s="282"/>
      <c r="AE57" s="282"/>
    </row>
    <row r="58" spans="1:31" ht="15.75" customHeight="1">
      <c r="A58" s="617" t="s">
        <v>616</v>
      </c>
      <c r="B58" s="502"/>
      <c r="C58" s="502"/>
      <c r="D58" s="502"/>
      <c r="E58" s="502"/>
      <c r="F58" s="502"/>
      <c r="G58" s="502"/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3"/>
      <c r="T58" s="330"/>
      <c r="U58" s="330"/>
      <c r="V58" s="330"/>
      <c r="W58" s="282"/>
      <c r="X58" s="282"/>
      <c r="Y58" s="282"/>
      <c r="Z58" s="282"/>
      <c r="AA58" s="282"/>
      <c r="AB58" s="282"/>
      <c r="AC58" s="282"/>
      <c r="AD58" s="282"/>
      <c r="AE58" s="282"/>
    </row>
    <row r="59" spans="1:31" ht="15.75" customHeight="1">
      <c r="A59" s="616" t="s">
        <v>617</v>
      </c>
      <c r="B59" s="502"/>
      <c r="C59" s="502"/>
      <c r="D59" s="502"/>
      <c r="E59" s="502"/>
      <c r="F59" s="502"/>
      <c r="G59" s="502"/>
      <c r="H59" s="502"/>
      <c r="I59" s="503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282"/>
      <c r="W59" s="282"/>
      <c r="X59" s="282"/>
      <c r="Y59" s="282"/>
      <c r="Z59" s="282"/>
      <c r="AA59" s="282"/>
      <c r="AB59" s="282"/>
      <c r="AC59" s="282"/>
      <c r="AD59" s="282"/>
      <c r="AE59" s="282"/>
    </row>
    <row r="60" spans="1:31" ht="15.75" customHeight="1">
      <c r="A60" s="617" t="s">
        <v>618</v>
      </c>
      <c r="B60" s="502"/>
      <c r="C60" s="502"/>
      <c r="D60" s="502"/>
      <c r="E60" s="502"/>
      <c r="F60" s="502"/>
      <c r="G60" s="502"/>
      <c r="H60" s="502"/>
      <c r="I60" s="502"/>
      <c r="J60" s="502"/>
      <c r="K60" s="502"/>
      <c r="L60" s="503"/>
      <c r="M60" s="329"/>
      <c r="N60" s="329"/>
      <c r="O60" s="329"/>
      <c r="P60" s="329"/>
      <c r="Q60" s="329"/>
      <c r="R60" s="329"/>
      <c r="S60" s="329"/>
      <c r="T60" s="329"/>
      <c r="U60" s="329"/>
      <c r="V60" s="282"/>
      <c r="W60" s="282"/>
      <c r="X60" s="282"/>
      <c r="Y60" s="282"/>
      <c r="Z60" s="282"/>
      <c r="AA60" s="282"/>
      <c r="AB60" s="282"/>
      <c r="AC60" s="282"/>
      <c r="AD60" s="282"/>
      <c r="AE60" s="282"/>
    </row>
    <row r="61" spans="1:31" ht="15.75" customHeight="1">
      <c r="A61" s="616" t="s">
        <v>619</v>
      </c>
      <c r="B61" s="502"/>
      <c r="C61" s="502"/>
      <c r="D61" s="502"/>
      <c r="E61" s="502"/>
      <c r="F61" s="502"/>
      <c r="G61" s="502"/>
      <c r="H61" s="502"/>
      <c r="I61" s="502"/>
      <c r="J61" s="503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282"/>
      <c r="W61" s="282"/>
      <c r="X61" s="282"/>
      <c r="Y61" s="282"/>
      <c r="Z61" s="282"/>
      <c r="AA61" s="282"/>
      <c r="AB61" s="282"/>
      <c r="AC61" s="282"/>
      <c r="AD61" s="282"/>
      <c r="AE61" s="282"/>
    </row>
    <row r="62" spans="1:31" ht="15.75" customHeight="1">
      <c r="A62" s="617" t="s">
        <v>620</v>
      </c>
      <c r="B62" s="502"/>
      <c r="C62" s="502"/>
      <c r="D62" s="502"/>
      <c r="E62" s="502"/>
      <c r="F62" s="502"/>
      <c r="G62" s="502"/>
      <c r="H62" s="502"/>
      <c r="I62" s="502"/>
      <c r="J62" s="502"/>
      <c r="K62" s="502"/>
      <c r="L62" s="502"/>
      <c r="M62" s="502"/>
      <c r="N62" s="502"/>
      <c r="O62" s="502"/>
      <c r="P62" s="502"/>
      <c r="Q62" s="502"/>
      <c r="R62" s="502"/>
      <c r="S62" s="502"/>
      <c r="T62" s="502"/>
      <c r="U62" s="502"/>
      <c r="V62" s="502"/>
      <c r="W62" s="502"/>
      <c r="X62" s="503"/>
      <c r="Y62" s="282"/>
      <c r="Z62" s="282"/>
      <c r="AA62" s="282"/>
      <c r="AB62" s="282"/>
      <c r="AC62" s="282"/>
      <c r="AD62" s="282"/>
      <c r="AE62" s="282"/>
    </row>
    <row r="63" spans="1:31" ht="15.75" customHeight="1">
      <c r="A63" s="616" t="s">
        <v>621</v>
      </c>
      <c r="B63" s="502"/>
      <c r="C63" s="502"/>
      <c r="D63" s="502"/>
      <c r="E63" s="502"/>
      <c r="F63" s="502"/>
      <c r="G63" s="502"/>
      <c r="H63" s="502"/>
      <c r="I63" s="502"/>
      <c r="J63" s="503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282"/>
      <c r="W63" s="282"/>
      <c r="X63" s="282"/>
      <c r="Y63" s="282"/>
      <c r="Z63" s="282"/>
      <c r="AA63" s="282"/>
      <c r="AB63" s="282"/>
      <c r="AC63" s="282"/>
      <c r="AD63" s="282"/>
      <c r="AE63" s="282"/>
    </row>
    <row r="64" spans="1:31" ht="15.75" customHeight="1">
      <c r="A64" s="617" t="s">
        <v>622</v>
      </c>
      <c r="B64" s="502"/>
      <c r="C64" s="502"/>
      <c r="D64" s="502"/>
      <c r="E64" s="502"/>
      <c r="F64" s="502"/>
      <c r="G64" s="502"/>
      <c r="H64" s="502"/>
      <c r="I64" s="503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282"/>
      <c r="W64" s="282"/>
      <c r="X64" s="282"/>
      <c r="Y64" s="282"/>
      <c r="Z64" s="282"/>
      <c r="AA64" s="282"/>
      <c r="AB64" s="282"/>
      <c r="AC64" s="282"/>
      <c r="AD64" s="282"/>
      <c r="AE64" s="282"/>
    </row>
    <row r="65" spans="1:31" ht="15.75" customHeight="1">
      <c r="A65" s="667" t="s">
        <v>623</v>
      </c>
      <c r="B65" s="502"/>
      <c r="C65" s="502"/>
      <c r="D65" s="502"/>
      <c r="E65" s="502"/>
      <c r="F65" s="502"/>
      <c r="G65" s="502"/>
      <c r="H65" s="502"/>
      <c r="I65" s="502"/>
      <c r="J65" s="502"/>
      <c r="K65" s="502"/>
      <c r="L65" s="502"/>
      <c r="M65" s="503"/>
      <c r="N65" s="282"/>
      <c r="O65" s="282"/>
      <c r="P65" s="282"/>
      <c r="Q65" s="282"/>
      <c r="R65" s="282"/>
      <c r="S65" s="282"/>
      <c r="T65" s="282"/>
      <c r="U65" s="282"/>
      <c r="V65" s="282"/>
      <c r="W65" s="282"/>
      <c r="X65" s="282"/>
      <c r="Y65" s="282"/>
      <c r="Z65" s="282"/>
      <c r="AA65" s="282"/>
      <c r="AB65" s="282"/>
      <c r="AC65" s="282"/>
      <c r="AD65" s="282"/>
      <c r="AE65" s="282"/>
    </row>
    <row r="66" spans="1:31" ht="15.75" customHeight="1">
      <c r="A66" s="619" t="s">
        <v>624</v>
      </c>
      <c r="B66" s="502"/>
      <c r="C66" s="502"/>
      <c r="D66" s="502"/>
      <c r="E66" s="502"/>
      <c r="F66" s="503"/>
      <c r="G66" s="282"/>
      <c r="H66" s="282"/>
      <c r="I66" s="282"/>
      <c r="J66" s="282"/>
      <c r="K66" s="282"/>
      <c r="L66" s="282"/>
      <c r="M66" s="282"/>
      <c r="N66" s="282"/>
      <c r="O66" s="282"/>
      <c r="P66" s="282"/>
      <c r="Q66" s="282"/>
      <c r="R66" s="282"/>
      <c r="S66" s="282"/>
      <c r="T66" s="282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</row>
    <row r="67" spans="1:31" ht="15.75" customHeight="1">
      <c r="A67" s="616" t="s">
        <v>625</v>
      </c>
      <c r="B67" s="502"/>
      <c r="C67" s="502"/>
      <c r="D67" s="502"/>
      <c r="E67" s="502"/>
      <c r="F67" s="502"/>
      <c r="G67" s="503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</row>
    <row r="68" spans="1:31" ht="15.75" customHeight="1">
      <c r="A68" s="617" t="s">
        <v>626</v>
      </c>
      <c r="B68" s="502"/>
      <c r="C68" s="502"/>
      <c r="D68" s="502"/>
      <c r="E68" s="502"/>
      <c r="F68" s="502"/>
      <c r="G68" s="502"/>
      <c r="H68" s="502"/>
      <c r="I68" s="502"/>
      <c r="J68" s="502"/>
      <c r="K68" s="502"/>
      <c r="L68" s="502"/>
      <c r="M68" s="502"/>
      <c r="N68" s="502"/>
      <c r="O68" s="502"/>
      <c r="P68" s="502"/>
      <c r="Q68" s="503"/>
      <c r="R68" s="282"/>
      <c r="S68" s="282"/>
      <c r="T68" s="282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</row>
    <row r="69" spans="1:31" ht="15.75" customHeight="1">
      <c r="A69" s="616" t="s">
        <v>627</v>
      </c>
      <c r="B69" s="502"/>
      <c r="C69" s="502"/>
      <c r="D69" s="502"/>
      <c r="E69" s="502"/>
      <c r="F69" s="502"/>
      <c r="G69" s="502"/>
      <c r="H69" s="502"/>
      <c r="I69" s="502"/>
      <c r="J69" s="502"/>
      <c r="K69" s="502"/>
      <c r="L69" s="503"/>
      <c r="M69" s="282"/>
      <c r="N69" s="282"/>
      <c r="O69" s="282"/>
      <c r="P69" s="282"/>
      <c r="Q69" s="282"/>
      <c r="R69" s="282"/>
      <c r="S69" s="282"/>
      <c r="T69" s="28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</row>
    <row r="70" spans="1:31" ht="15.75" customHeight="1">
      <c r="A70" s="618" t="s">
        <v>628</v>
      </c>
      <c r="B70" s="495"/>
      <c r="C70" s="495"/>
      <c r="D70" s="495"/>
      <c r="E70" s="495"/>
      <c r="F70" s="495"/>
      <c r="G70" s="495"/>
      <c r="H70" s="495"/>
      <c r="I70" s="495"/>
      <c r="J70" s="495"/>
      <c r="K70" s="495"/>
      <c r="L70" s="495"/>
      <c r="M70" s="495"/>
      <c r="N70" s="495"/>
      <c r="O70" s="495"/>
      <c r="P70" s="495"/>
      <c r="Q70" s="495"/>
      <c r="R70" s="495"/>
      <c r="S70" s="495"/>
      <c r="T70" s="495"/>
      <c r="U70" s="495"/>
      <c r="V70" s="495"/>
      <c r="W70" s="495"/>
      <c r="X70" s="495"/>
      <c r="Y70" s="495"/>
      <c r="Z70" s="495"/>
      <c r="AA70" s="495"/>
      <c r="AB70" s="282"/>
      <c r="AC70" s="282"/>
      <c r="AD70" s="282"/>
      <c r="AE70" s="282"/>
    </row>
    <row r="71" spans="1:31" ht="15.75" customHeight="1">
      <c r="A71" s="616" t="s">
        <v>629</v>
      </c>
      <c r="B71" s="502"/>
      <c r="C71" s="502"/>
      <c r="D71" s="502"/>
      <c r="E71" s="502"/>
      <c r="F71" s="502"/>
      <c r="G71" s="502"/>
      <c r="H71" s="502"/>
      <c r="I71" s="503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</row>
    <row r="72" spans="1:31" ht="15.75" customHeight="1">
      <c r="A72" s="618" t="s">
        <v>630</v>
      </c>
      <c r="B72" s="495"/>
      <c r="C72" s="495"/>
      <c r="D72" s="495"/>
      <c r="E72" s="495"/>
      <c r="F72" s="495"/>
      <c r="G72" s="495"/>
      <c r="H72" s="495"/>
      <c r="I72" s="495"/>
      <c r="J72" s="495"/>
      <c r="K72" s="495"/>
      <c r="L72" s="495"/>
      <c r="M72" s="495"/>
      <c r="N72" s="495"/>
      <c r="O72" s="495"/>
      <c r="P72" s="495"/>
      <c r="Q72" s="495"/>
      <c r="R72" s="495"/>
      <c r="S72" s="495"/>
      <c r="T72" s="495"/>
      <c r="U72" s="495"/>
      <c r="V72" s="495"/>
      <c r="W72" s="495"/>
      <c r="X72" s="495"/>
      <c r="Y72" s="495"/>
      <c r="Z72" s="495"/>
      <c r="AA72" s="495"/>
      <c r="AB72" s="495"/>
      <c r="AC72" s="495"/>
      <c r="AD72" s="495"/>
      <c r="AE72" s="495"/>
    </row>
    <row r="73" spans="1:31" ht="15.75" customHeight="1">
      <c r="A73" s="616" t="s">
        <v>631</v>
      </c>
      <c r="B73" s="502"/>
      <c r="C73" s="502"/>
      <c r="D73" s="502"/>
      <c r="E73" s="502"/>
      <c r="F73" s="502"/>
      <c r="G73" s="502"/>
      <c r="H73" s="502"/>
      <c r="I73" s="503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</row>
    <row r="74" spans="1:31" ht="15.75" customHeight="1">
      <c r="A74" s="619" t="s">
        <v>632</v>
      </c>
      <c r="B74" s="502"/>
      <c r="C74" s="502"/>
      <c r="D74" s="502"/>
      <c r="E74" s="502"/>
      <c r="F74" s="502"/>
      <c r="G74" s="502"/>
      <c r="H74" s="502"/>
      <c r="I74" s="502"/>
      <c r="J74" s="502"/>
      <c r="K74" s="502"/>
      <c r="L74" s="502"/>
      <c r="M74" s="503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</row>
    <row r="75" spans="1:31" ht="15.75" customHeight="1">
      <c r="A75" s="282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</row>
    <row r="76" spans="1:31" ht="15.75" customHeight="1">
      <c r="A76" s="331"/>
      <c r="B76" s="331"/>
      <c r="C76" s="331"/>
      <c r="D76" s="331"/>
      <c r="E76" s="331"/>
      <c r="F76" s="331"/>
      <c r="G76" s="331"/>
      <c r="H76" s="331"/>
      <c r="I76" s="331"/>
      <c r="J76" s="331"/>
      <c r="K76" s="331"/>
      <c r="L76" s="331"/>
      <c r="M76" s="331"/>
      <c r="N76" s="331"/>
      <c r="O76" s="331"/>
      <c r="P76" s="331"/>
      <c r="Q76" s="331"/>
      <c r="R76" s="331"/>
      <c r="S76" s="331"/>
      <c r="T76" s="331"/>
      <c r="U76" s="331"/>
      <c r="V76" s="331"/>
      <c r="W76" s="331"/>
      <c r="X76" s="331"/>
      <c r="Y76" s="331"/>
      <c r="Z76" s="282"/>
      <c r="AA76" s="282"/>
      <c r="AB76" s="282"/>
      <c r="AC76" s="282"/>
      <c r="AD76" s="282"/>
      <c r="AE76" s="282"/>
    </row>
    <row r="77" spans="1:31" ht="15.75" customHeight="1">
      <c r="A77" s="282"/>
      <c r="B77" s="620" t="s">
        <v>633</v>
      </c>
      <c r="C77" s="621"/>
      <c r="D77" s="621"/>
      <c r="E77" s="621"/>
      <c r="F77" s="508"/>
      <c r="G77" s="331"/>
      <c r="H77" s="331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/>
      <c r="X77" s="331"/>
      <c r="Y77" s="331"/>
      <c r="Z77" s="282"/>
      <c r="AA77" s="282"/>
      <c r="AB77" s="282"/>
      <c r="AC77" s="282"/>
      <c r="AD77" s="282"/>
      <c r="AE77" s="282"/>
    </row>
    <row r="78" spans="1:31" ht="15.75" customHeight="1">
      <c r="A78" s="282"/>
      <c r="B78" s="332" t="s">
        <v>546</v>
      </c>
      <c r="C78" s="333" t="s">
        <v>0</v>
      </c>
      <c r="D78" s="333" t="s">
        <v>597</v>
      </c>
      <c r="E78" s="333" t="s">
        <v>59</v>
      </c>
      <c r="F78" s="334" t="s">
        <v>634</v>
      </c>
      <c r="G78" s="331"/>
      <c r="H78" s="331"/>
      <c r="I78" s="331"/>
      <c r="J78" s="331"/>
      <c r="K78" s="331"/>
      <c r="L78" s="331"/>
      <c r="M78" s="331"/>
      <c r="N78" s="331"/>
      <c r="O78" s="331"/>
      <c r="P78" s="331"/>
      <c r="Q78" s="331"/>
      <c r="R78" s="331"/>
      <c r="S78" s="331"/>
      <c r="T78" s="331"/>
      <c r="U78" s="331"/>
      <c r="V78" s="331"/>
      <c r="W78" s="331"/>
      <c r="X78" s="331"/>
      <c r="Y78" s="331"/>
      <c r="Z78" s="282"/>
      <c r="AA78" s="282"/>
      <c r="AB78" s="282"/>
      <c r="AC78" s="282"/>
      <c r="AD78" s="282"/>
      <c r="AE78" s="282"/>
    </row>
    <row r="79" spans="1:31" ht="15.75" customHeight="1">
      <c r="A79" s="282"/>
      <c r="B79" s="335" t="s">
        <v>23</v>
      </c>
      <c r="C79" s="335" t="s">
        <v>635</v>
      </c>
      <c r="D79" s="335" t="s">
        <v>636</v>
      </c>
      <c r="E79" s="335" t="s">
        <v>61</v>
      </c>
      <c r="F79" s="336">
        <v>640</v>
      </c>
      <c r="G79" s="331"/>
      <c r="H79" s="331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/>
      <c r="X79" s="331"/>
      <c r="Y79" s="331"/>
      <c r="Z79" s="282"/>
      <c r="AA79" s="282"/>
      <c r="AB79" s="282"/>
      <c r="AC79" s="282"/>
      <c r="AD79" s="282"/>
      <c r="AE79" s="282"/>
    </row>
    <row r="80" spans="1:31" ht="15.75" customHeight="1">
      <c r="A80" s="282"/>
      <c r="B80" s="335" t="s">
        <v>23</v>
      </c>
      <c r="C80" s="335" t="s">
        <v>635</v>
      </c>
      <c r="D80" s="335" t="s">
        <v>637</v>
      </c>
      <c r="E80" s="335" t="s">
        <v>61</v>
      </c>
      <c r="F80" s="336">
        <v>640</v>
      </c>
      <c r="G80" s="331"/>
      <c r="H80" s="331"/>
      <c r="I80" s="331"/>
      <c r="J80" s="331"/>
      <c r="K80" s="331"/>
      <c r="L80" s="331"/>
      <c r="M80" s="331"/>
      <c r="N80" s="331"/>
      <c r="O80" s="331"/>
      <c r="P80" s="331"/>
      <c r="Q80" s="331"/>
      <c r="R80" s="331"/>
      <c r="S80" s="331"/>
      <c r="T80" s="331"/>
      <c r="U80" s="331"/>
      <c r="V80" s="331"/>
      <c r="W80" s="331"/>
      <c r="X80" s="331"/>
      <c r="Y80" s="331"/>
      <c r="Z80" s="282"/>
      <c r="AA80" s="282"/>
      <c r="AB80" s="282"/>
      <c r="AC80" s="282"/>
      <c r="AD80" s="282"/>
      <c r="AE80" s="282"/>
    </row>
    <row r="81" spans="1:31" ht="15.75" customHeight="1">
      <c r="A81" s="282"/>
      <c r="B81" s="335" t="s">
        <v>23</v>
      </c>
      <c r="C81" s="335" t="s">
        <v>635</v>
      </c>
      <c r="D81" s="335" t="s">
        <v>638</v>
      </c>
      <c r="E81" s="335" t="s">
        <v>61</v>
      </c>
      <c r="F81" s="336">
        <v>620</v>
      </c>
      <c r="G81" s="331"/>
      <c r="H81" s="331"/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/>
      <c r="X81" s="331"/>
      <c r="Y81" s="331"/>
      <c r="Z81" s="282"/>
      <c r="AA81" s="282"/>
      <c r="AB81" s="282"/>
      <c r="AC81" s="282"/>
      <c r="AD81" s="282"/>
      <c r="AE81" s="282"/>
    </row>
    <row r="82" spans="1:31" ht="15.75" customHeight="1">
      <c r="A82" s="282"/>
      <c r="B82" s="335" t="s">
        <v>639</v>
      </c>
      <c r="C82" s="335" t="s">
        <v>87</v>
      </c>
      <c r="D82" s="335" t="s">
        <v>555</v>
      </c>
      <c r="E82" s="335" t="s">
        <v>61</v>
      </c>
      <c r="F82" s="336">
        <v>600</v>
      </c>
      <c r="G82" s="331"/>
      <c r="H82" s="331"/>
      <c r="I82" s="331"/>
      <c r="J82" s="331"/>
      <c r="K82" s="331"/>
      <c r="L82" s="331"/>
      <c r="M82" s="331"/>
      <c r="N82" s="331"/>
      <c r="O82" s="331"/>
      <c r="P82" s="331"/>
      <c r="Q82" s="331"/>
      <c r="R82" s="331"/>
      <c r="S82" s="331"/>
      <c r="T82" s="331"/>
      <c r="U82" s="331"/>
      <c r="V82" s="331"/>
      <c r="W82" s="331"/>
      <c r="X82" s="331"/>
      <c r="Y82" s="331"/>
      <c r="Z82" s="282"/>
      <c r="AA82" s="282"/>
      <c r="AB82" s="282"/>
      <c r="AC82" s="282"/>
      <c r="AD82" s="282"/>
      <c r="AE82" s="282"/>
    </row>
    <row r="83" spans="1:31" ht="15.75" customHeight="1">
      <c r="A83" s="282"/>
      <c r="B83" s="335" t="s">
        <v>639</v>
      </c>
      <c r="C83" s="335" t="s">
        <v>640</v>
      </c>
      <c r="D83" s="335" t="s">
        <v>641</v>
      </c>
      <c r="E83" s="335" t="s">
        <v>61</v>
      </c>
      <c r="F83" s="337" t="s">
        <v>642</v>
      </c>
      <c r="G83" s="331"/>
      <c r="H83" s="331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/>
      <c r="X83" s="331"/>
      <c r="Y83" s="331"/>
      <c r="Z83" s="282"/>
      <c r="AA83" s="282"/>
      <c r="AB83" s="282"/>
      <c r="AC83" s="282"/>
      <c r="AD83" s="282"/>
      <c r="AE83" s="282"/>
    </row>
    <row r="84" spans="1:31" ht="15.75" customHeight="1">
      <c r="A84" s="282"/>
      <c r="B84" s="335" t="s">
        <v>639</v>
      </c>
      <c r="C84" s="335" t="s">
        <v>87</v>
      </c>
      <c r="D84" s="335" t="s">
        <v>643</v>
      </c>
      <c r="E84" s="335" t="s">
        <v>61</v>
      </c>
      <c r="F84" s="336">
        <v>540</v>
      </c>
      <c r="G84" s="331"/>
      <c r="H84" s="331"/>
      <c r="I84" s="331"/>
      <c r="J84" s="331"/>
      <c r="K84" s="331"/>
      <c r="L84" s="331"/>
      <c r="M84" s="331"/>
      <c r="N84" s="331"/>
      <c r="O84" s="331"/>
      <c r="P84" s="331"/>
      <c r="Q84" s="331"/>
      <c r="R84" s="331"/>
      <c r="S84" s="331"/>
      <c r="T84" s="331"/>
      <c r="U84" s="331"/>
      <c r="V84" s="331"/>
      <c r="W84" s="331"/>
      <c r="X84" s="331"/>
      <c r="Y84" s="331"/>
      <c r="Z84" s="282"/>
      <c r="AA84" s="282"/>
      <c r="AB84" s="282"/>
      <c r="AC84" s="282"/>
      <c r="AD84" s="282"/>
      <c r="AE84" s="282"/>
    </row>
    <row r="85" spans="1:31" ht="15.75" customHeight="1">
      <c r="A85" s="282"/>
      <c r="B85" s="335" t="s">
        <v>644</v>
      </c>
      <c r="C85" s="335" t="s">
        <v>16</v>
      </c>
      <c r="D85" s="335" t="s">
        <v>566</v>
      </c>
      <c r="E85" s="335" t="s">
        <v>61</v>
      </c>
      <c r="F85" s="336">
        <v>750</v>
      </c>
      <c r="G85" s="331"/>
      <c r="H85" s="331"/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/>
      <c r="X85" s="331"/>
      <c r="Y85" s="331"/>
      <c r="Z85" s="282"/>
      <c r="AA85" s="282"/>
      <c r="AB85" s="282"/>
      <c r="AC85" s="282"/>
      <c r="AD85" s="282"/>
      <c r="AE85" s="282"/>
    </row>
    <row r="86" spans="1:31" ht="15.75" customHeight="1">
      <c r="A86" s="282"/>
      <c r="B86" s="335" t="s">
        <v>644</v>
      </c>
      <c r="C86" s="335" t="s">
        <v>16</v>
      </c>
      <c r="D86" s="335" t="s">
        <v>568</v>
      </c>
      <c r="E86" s="335" t="s">
        <v>61</v>
      </c>
      <c r="F86" s="336">
        <v>800</v>
      </c>
      <c r="G86" s="331"/>
      <c r="H86" s="331"/>
      <c r="I86" s="331"/>
      <c r="J86" s="331"/>
      <c r="K86" s="331"/>
      <c r="L86" s="331"/>
      <c r="M86" s="331"/>
      <c r="N86" s="331"/>
      <c r="O86" s="331"/>
      <c r="P86" s="331"/>
      <c r="Q86" s="331"/>
      <c r="R86" s="331"/>
      <c r="S86" s="331"/>
      <c r="T86" s="331"/>
      <c r="U86" s="331"/>
      <c r="V86" s="331"/>
      <c r="W86" s="331"/>
      <c r="X86" s="331"/>
      <c r="Y86" s="331"/>
      <c r="Z86" s="282"/>
      <c r="AA86" s="282"/>
      <c r="AB86" s="282"/>
      <c r="AC86" s="282"/>
      <c r="AD86" s="282"/>
      <c r="AE86" s="282"/>
    </row>
    <row r="87" spans="1:31" ht="15.75" customHeight="1">
      <c r="A87" s="282"/>
      <c r="B87" s="335" t="s">
        <v>645</v>
      </c>
      <c r="C87" s="335" t="s">
        <v>10</v>
      </c>
      <c r="D87" s="335" t="s">
        <v>560</v>
      </c>
      <c r="E87" s="335" t="s">
        <v>61</v>
      </c>
      <c r="F87" s="336">
        <v>410</v>
      </c>
      <c r="G87" s="331"/>
      <c r="H87" s="331"/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/>
      <c r="X87" s="331"/>
      <c r="Y87" s="331"/>
      <c r="Z87" s="282"/>
      <c r="AA87" s="282"/>
      <c r="AB87" s="282"/>
      <c r="AC87" s="282"/>
      <c r="AD87" s="282"/>
      <c r="AE87" s="282"/>
    </row>
    <row r="88" spans="1:31" ht="15.75" customHeight="1">
      <c r="A88" s="282"/>
      <c r="B88" s="335" t="s">
        <v>645</v>
      </c>
      <c r="C88" s="335" t="s">
        <v>12</v>
      </c>
      <c r="D88" s="335" t="s">
        <v>646</v>
      </c>
      <c r="E88" s="335" t="s">
        <v>61</v>
      </c>
      <c r="F88" s="336">
        <v>600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31" ht="15.75" customHeight="1">
      <c r="A89" s="282"/>
      <c r="B89" s="335" t="s">
        <v>645</v>
      </c>
      <c r="C89" s="335" t="s">
        <v>17</v>
      </c>
      <c r="D89" s="335" t="s">
        <v>647</v>
      </c>
      <c r="E89" s="335" t="s">
        <v>61</v>
      </c>
      <c r="F89" s="336">
        <v>670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31" ht="15.75" customHeight="1">
      <c r="A90" s="282"/>
      <c r="B90" s="335" t="s">
        <v>645</v>
      </c>
      <c r="C90" s="335" t="s">
        <v>4</v>
      </c>
      <c r="D90" s="335" t="s">
        <v>648</v>
      </c>
      <c r="E90" s="335" t="s">
        <v>61</v>
      </c>
      <c r="F90" s="336">
        <v>490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31" ht="15.75" customHeight="1">
      <c r="A91" s="282"/>
      <c r="B91" s="335" t="s">
        <v>645</v>
      </c>
      <c r="C91" s="335" t="s">
        <v>4</v>
      </c>
      <c r="D91" s="335" t="s">
        <v>562</v>
      </c>
      <c r="E91" s="335" t="s">
        <v>61</v>
      </c>
      <c r="F91" s="336">
        <v>420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31" ht="15.75" customHeight="1">
      <c r="A92" s="282"/>
      <c r="B92" s="335" t="s">
        <v>645</v>
      </c>
      <c r="C92" s="335" t="s">
        <v>4</v>
      </c>
      <c r="D92" s="335" t="s">
        <v>649</v>
      </c>
      <c r="E92" s="335" t="s">
        <v>61</v>
      </c>
      <c r="F92" s="336">
        <v>650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31" ht="15.75" customHeight="1">
      <c r="A93" s="282"/>
      <c r="B93" s="335" t="s">
        <v>645</v>
      </c>
      <c r="C93" s="338" t="s">
        <v>4</v>
      </c>
      <c r="D93" s="338" t="s">
        <v>564</v>
      </c>
      <c r="E93" s="338" t="s">
        <v>432</v>
      </c>
      <c r="F93" s="336">
        <v>670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31" ht="15.75" customHeight="1">
      <c r="A94" s="282"/>
      <c r="B94" s="335" t="s">
        <v>645</v>
      </c>
      <c r="C94" s="338" t="s">
        <v>11</v>
      </c>
      <c r="D94" s="338" t="s">
        <v>650</v>
      </c>
      <c r="E94" s="338" t="s">
        <v>432</v>
      </c>
      <c r="F94" s="336">
        <v>750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282"/>
      <c r="B98" s="622" t="s">
        <v>633</v>
      </c>
      <c r="C98" s="621"/>
      <c r="D98" s="621"/>
      <c r="E98" s="621"/>
      <c r="F98" s="621"/>
      <c r="G98" s="508"/>
      <c r="H98" s="282"/>
      <c r="I98" s="282"/>
      <c r="J98" s="282"/>
      <c r="K98" s="282"/>
      <c r="L98" s="282"/>
      <c r="M98" s="282"/>
      <c r="N98" s="282"/>
      <c r="O98" s="28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282"/>
      <c r="B99" s="339" t="s">
        <v>546</v>
      </c>
      <c r="C99" s="340" t="s">
        <v>0</v>
      </c>
      <c r="D99" s="340" t="s">
        <v>597</v>
      </c>
      <c r="E99" s="340" t="s">
        <v>651</v>
      </c>
      <c r="F99" s="340" t="s">
        <v>652</v>
      </c>
      <c r="G99" s="340" t="s">
        <v>653</v>
      </c>
      <c r="H99" s="282"/>
      <c r="I99" s="282"/>
      <c r="J99" s="623" t="s">
        <v>654</v>
      </c>
      <c r="K99" s="508"/>
      <c r="L99" s="282"/>
      <c r="M99" s="282"/>
      <c r="N99" s="282"/>
      <c r="O99" s="28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282"/>
      <c r="B100" s="341" t="s">
        <v>23</v>
      </c>
      <c r="C100" s="341" t="s">
        <v>635</v>
      </c>
      <c r="D100" s="341" t="s">
        <v>636</v>
      </c>
      <c r="E100" s="341" t="s">
        <v>655</v>
      </c>
      <c r="F100" s="341" t="s">
        <v>656</v>
      </c>
      <c r="G100" s="342" t="s">
        <v>657</v>
      </c>
      <c r="H100" s="282"/>
      <c r="I100" s="282"/>
      <c r="J100" s="282"/>
      <c r="K100" s="282"/>
      <c r="L100" s="282"/>
      <c r="M100" s="282"/>
      <c r="N100" s="282"/>
      <c r="O100" s="28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282"/>
      <c r="B101" s="341" t="s">
        <v>23</v>
      </c>
      <c r="C101" s="341" t="s">
        <v>635</v>
      </c>
      <c r="D101" s="341" t="s">
        <v>637</v>
      </c>
      <c r="E101" s="341" t="s">
        <v>655</v>
      </c>
      <c r="F101" s="341" t="s">
        <v>656</v>
      </c>
      <c r="G101" s="343">
        <v>800</v>
      </c>
      <c r="H101" s="282"/>
      <c r="I101" s="624" t="s">
        <v>658</v>
      </c>
      <c r="J101" s="625"/>
      <c r="K101" s="625"/>
      <c r="L101" s="626"/>
      <c r="M101" s="282"/>
      <c r="N101" s="282"/>
      <c r="O101" s="28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282"/>
      <c r="B102" s="341" t="s">
        <v>23</v>
      </c>
      <c r="C102" s="341" t="s">
        <v>635</v>
      </c>
      <c r="D102" s="341" t="s">
        <v>638</v>
      </c>
      <c r="E102" s="341" t="s">
        <v>655</v>
      </c>
      <c r="F102" s="341" t="s">
        <v>656</v>
      </c>
      <c r="G102" s="342" t="s">
        <v>659</v>
      </c>
      <c r="H102" s="282"/>
      <c r="I102" s="627" t="s">
        <v>660</v>
      </c>
      <c r="J102" s="621"/>
      <c r="K102" s="621"/>
      <c r="L102" s="508"/>
      <c r="M102" s="282"/>
      <c r="N102" s="282"/>
      <c r="O102" s="28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282"/>
      <c r="B103" s="341" t="s">
        <v>639</v>
      </c>
      <c r="C103" s="341" t="s">
        <v>87</v>
      </c>
      <c r="D103" s="341" t="s">
        <v>555</v>
      </c>
      <c r="E103" s="341" t="s">
        <v>655</v>
      </c>
      <c r="F103" s="341" t="s">
        <v>656</v>
      </c>
      <c r="G103" s="342" t="s">
        <v>657</v>
      </c>
      <c r="H103" s="282"/>
      <c r="I103" s="344" t="s">
        <v>661</v>
      </c>
      <c r="J103" s="282"/>
      <c r="K103" s="282"/>
      <c r="L103" s="345"/>
      <c r="M103" s="346"/>
      <c r="N103" s="346"/>
      <c r="O103" s="28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282"/>
      <c r="B104" s="341" t="s">
        <v>639</v>
      </c>
      <c r="C104" s="341" t="s">
        <v>98</v>
      </c>
      <c r="D104" s="341" t="s">
        <v>641</v>
      </c>
      <c r="E104" s="341" t="s">
        <v>655</v>
      </c>
      <c r="F104" s="341" t="s">
        <v>656</v>
      </c>
      <c r="G104" s="342" t="s">
        <v>662</v>
      </c>
      <c r="H104" s="282"/>
      <c r="I104" s="628" t="s">
        <v>663</v>
      </c>
      <c r="J104" s="503"/>
      <c r="K104" s="629" t="s">
        <v>664</v>
      </c>
      <c r="L104" s="503"/>
      <c r="M104" s="346"/>
      <c r="N104" s="346"/>
      <c r="O104" s="28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282"/>
      <c r="B105" s="341" t="s">
        <v>639</v>
      </c>
      <c r="C105" s="341" t="s">
        <v>87</v>
      </c>
      <c r="D105" s="341" t="s">
        <v>643</v>
      </c>
      <c r="E105" s="341" t="s">
        <v>655</v>
      </c>
      <c r="F105" s="341" t="s">
        <v>656</v>
      </c>
      <c r="G105" s="342" t="s">
        <v>659</v>
      </c>
      <c r="H105" s="282"/>
      <c r="I105" s="347"/>
      <c r="J105" s="282"/>
      <c r="K105" s="282"/>
      <c r="L105" s="345"/>
      <c r="M105" s="282"/>
      <c r="N105" s="282"/>
      <c r="O105" s="28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282"/>
      <c r="B106" s="341" t="s">
        <v>644</v>
      </c>
      <c r="C106" s="341" t="s">
        <v>16</v>
      </c>
      <c r="D106" s="341" t="s">
        <v>566</v>
      </c>
      <c r="E106" s="341" t="s">
        <v>655</v>
      </c>
      <c r="F106" s="341" t="s">
        <v>656</v>
      </c>
      <c r="G106" s="342" t="s">
        <v>657</v>
      </c>
      <c r="H106" s="282"/>
      <c r="I106" s="630" t="s">
        <v>665</v>
      </c>
      <c r="J106" s="502"/>
      <c r="K106" s="502"/>
      <c r="L106" s="503"/>
      <c r="M106" s="282"/>
      <c r="N106" s="282"/>
      <c r="O106" s="28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282"/>
      <c r="B107" s="341" t="s">
        <v>644</v>
      </c>
      <c r="C107" s="341" t="s">
        <v>16</v>
      </c>
      <c r="D107" s="341" t="s">
        <v>568</v>
      </c>
      <c r="E107" s="341" t="s">
        <v>655</v>
      </c>
      <c r="F107" s="341" t="s">
        <v>656</v>
      </c>
      <c r="G107" s="342" t="s">
        <v>657</v>
      </c>
      <c r="H107" s="282"/>
      <c r="I107" s="630" t="s">
        <v>666</v>
      </c>
      <c r="J107" s="502"/>
      <c r="K107" s="502"/>
      <c r="L107" s="503"/>
      <c r="M107" s="282"/>
      <c r="N107" s="282"/>
      <c r="O107" s="28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282"/>
      <c r="B108" s="341" t="s">
        <v>645</v>
      </c>
      <c r="C108" s="341" t="s">
        <v>12</v>
      </c>
      <c r="D108" s="341" t="s">
        <v>646</v>
      </c>
      <c r="E108" s="341" t="s">
        <v>655</v>
      </c>
      <c r="F108" s="341" t="s">
        <v>656</v>
      </c>
      <c r="G108" s="342" t="s">
        <v>657</v>
      </c>
      <c r="H108" s="282"/>
      <c r="I108" s="348"/>
      <c r="J108" s="631" t="s">
        <v>667</v>
      </c>
      <c r="K108" s="503"/>
      <c r="L108" s="349"/>
      <c r="M108" s="282"/>
      <c r="N108" s="282"/>
      <c r="O108" s="28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282"/>
      <c r="B109" s="341" t="s">
        <v>645</v>
      </c>
      <c r="C109" s="341" t="s">
        <v>17</v>
      </c>
      <c r="D109" s="341" t="s">
        <v>647</v>
      </c>
      <c r="E109" s="341" t="s">
        <v>655</v>
      </c>
      <c r="F109" s="341" t="s">
        <v>656</v>
      </c>
      <c r="G109" s="342" t="s">
        <v>657</v>
      </c>
      <c r="H109" s="282"/>
      <c r="I109" s="632"/>
      <c r="J109" s="500"/>
      <c r="K109" s="282"/>
      <c r="L109" s="282"/>
      <c r="M109" s="282"/>
      <c r="N109" s="282"/>
      <c r="O109" s="28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282"/>
      <c r="B110" s="341" t="s">
        <v>645</v>
      </c>
      <c r="C110" s="341" t="s">
        <v>4</v>
      </c>
      <c r="D110" s="341" t="s">
        <v>668</v>
      </c>
      <c r="E110" s="341" t="s">
        <v>655</v>
      </c>
      <c r="F110" s="341" t="s">
        <v>656</v>
      </c>
      <c r="G110" s="342" t="s">
        <v>659</v>
      </c>
      <c r="H110" s="282"/>
      <c r="I110" s="502"/>
      <c r="J110" s="503"/>
      <c r="K110" s="282"/>
      <c r="L110" s="282"/>
      <c r="M110" s="282"/>
      <c r="N110" s="282"/>
      <c r="O110" s="28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282"/>
      <c r="B111" s="341" t="s">
        <v>645</v>
      </c>
      <c r="C111" s="341" t="s">
        <v>4</v>
      </c>
      <c r="D111" s="341" t="s">
        <v>562</v>
      </c>
      <c r="E111" s="341" t="s">
        <v>655</v>
      </c>
      <c r="F111" s="341" t="s">
        <v>656</v>
      </c>
      <c r="G111" s="342" t="s">
        <v>659</v>
      </c>
      <c r="H111" s="282"/>
      <c r="I111" s="624" t="s">
        <v>669</v>
      </c>
      <c r="J111" s="625"/>
      <c r="K111" s="625"/>
      <c r="L111" s="626"/>
      <c r="M111" s="282"/>
      <c r="N111" s="282"/>
      <c r="O111" s="28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282"/>
      <c r="B112" s="341" t="s">
        <v>645</v>
      </c>
      <c r="C112" s="341" t="s">
        <v>10</v>
      </c>
      <c r="D112" s="341" t="s">
        <v>560</v>
      </c>
      <c r="E112" s="341" t="s">
        <v>655</v>
      </c>
      <c r="F112" s="341" t="s">
        <v>656</v>
      </c>
      <c r="G112" s="342" t="s">
        <v>659</v>
      </c>
      <c r="H112" s="282"/>
      <c r="I112" s="627" t="s">
        <v>670</v>
      </c>
      <c r="J112" s="621"/>
      <c r="K112" s="621"/>
      <c r="L112" s="508"/>
      <c r="M112" s="282"/>
      <c r="N112" s="282"/>
      <c r="O112" s="28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282"/>
      <c r="B113" s="341" t="s">
        <v>645</v>
      </c>
      <c r="C113" s="341" t="s">
        <v>4</v>
      </c>
      <c r="D113" s="341" t="s">
        <v>649</v>
      </c>
      <c r="E113" s="341" t="s">
        <v>655</v>
      </c>
      <c r="F113" s="341" t="s">
        <v>656</v>
      </c>
      <c r="G113" s="342" t="s">
        <v>659</v>
      </c>
      <c r="H113" s="282"/>
      <c r="I113" s="282"/>
      <c r="J113" s="350"/>
      <c r="K113" s="282"/>
      <c r="L113" s="282"/>
      <c r="M113" s="282"/>
      <c r="N113" s="282"/>
      <c r="O113" s="28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282"/>
      <c r="B114" s="341" t="s">
        <v>645</v>
      </c>
      <c r="C114" s="341" t="s">
        <v>4</v>
      </c>
      <c r="D114" s="341" t="s">
        <v>564</v>
      </c>
      <c r="E114" s="341" t="s">
        <v>655</v>
      </c>
      <c r="F114" s="341" t="s">
        <v>656</v>
      </c>
      <c r="G114" s="342" t="s">
        <v>659</v>
      </c>
      <c r="H114" s="282"/>
      <c r="I114" s="351" t="s">
        <v>671</v>
      </c>
      <c r="J114" s="352"/>
      <c r="K114" s="352"/>
      <c r="L114" s="353"/>
      <c r="M114" s="282"/>
      <c r="N114" s="282"/>
      <c r="O114" s="28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282"/>
      <c r="B115" s="338" t="s">
        <v>645</v>
      </c>
      <c r="C115" s="338" t="s">
        <v>11</v>
      </c>
      <c r="D115" s="338" t="s">
        <v>578</v>
      </c>
      <c r="E115" s="338" t="s">
        <v>655</v>
      </c>
      <c r="F115" s="338" t="s">
        <v>656</v>
      </c>
      <c r="G115" s="342" t="s">
        <v>657</v>
      </c>
      <c r="H115" s="282"/>
      <c r="I115" s="347"/>
      <c r="J115" s="282" t="s">
        <v>672</v>
      </c>
      <c r="K115" s="282"/>
      <c r="L115" s="345"/>
      <c r="M115" s="282"/>
      <c r="N115" s="282"/>
      <c r="O115" s="28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282"/>
      <c r="B116" s="338" t="s">
        <v>23</v>
      </c>
      <c r="C116" s="338" t="s">
        <v>635</v>
      </c>
      <c r="D116" s="338" t="s">
        <v>636</v>
      </c>
      <c r="E116" s="338" t="s">
        <v>655</v>
      </c>
      <c r="F116" s="338" t="s">
        <v>673</v>
      </c>
      <c r="G116" s="342" t="s">
        <v>674</v>
      </c>
      <c r="H116" s="282"/>
      <c r="I116" s="347"/>
      <c r="J116" s="282"/>
      <c r="K116" s="282"/>
      <c r="L116" s="345"/>
      <c r="M116" s="282"/>
      <c r="N116" s="282"/>
      <c r="O116" s="28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282"/>
      <c r="B117" s="338" t="s">
        <v>23</v>
      </c>
      <c r="C117" s="338" t="s">
        <v>635</v>
      </c>
      <c r="D117" s="338" t="s">
        <v>637</v>
      </c>
      <c r="E117" s="338" t="s">
        <v>655</v>
      </c>
      <c r="F117" s="338" t="s">
        <v>673</v>
      </c>
      <c r="G117" s="342" t="s">
        <v>674</v>
      </c>
      <c r="H117" s="282"/>
      <c r="I117" s="347"/>
      <c r="J117" s="629" t="s">
        <v>675</v>
      </c>
      <c r="K117" s="503"/>
      <c r="L117" s="345"/>
      <c r="M117" s="282"/>
      <c r="N117" s="282"/>
      <c r="O117" s="28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282"/>
      <c r="B118" s="338" t="s">
        <v>23</v>
      </c>
      <c r="C118" s="338" t="s">
        <v>635</v>
      </c>
      <c r="D118" s="338" t="s">
        <v>638</v>
      </c>
      <c r="E118" s="338" t="s">
        <v>655</v>
      </c>
      <c r="F118" s="338" t="s">
        <v>673</v>
      </c>
      <c r="G118" s="342" t="s">
        <v>676</v>
      </c>
      <c r="H118" s="282"/>
      <c r="I118" s="348"/>
      <c r="J118" s="631" t="s">
        <v>677</v>
      </c>
      <c r="K118" s="503"/>
      <c r="L118" s="349"/>
      <c r="M118" s="282"/>
      <c r="N118" s="282"/>
      <c r="O118" s="28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282"/>
      <c r="B119" s="338" t="s">
        <v>23</v>
      </c>
      <c r="C119" s="338" t="s">
        <v>52</v>
      </c>
      <c r="D119" s="338" t="s">
        <v>678</v>
      </c>
      <c r="E119" s="338" t="s">
        <v>655</v>
      </c>
      <c r="F119" s="338" t="s">
        <v>673</v>
      </c>
      <c r="G119" s="342" t="s">
        <v>676</v>
      </c>
      <c r="H119" s="282"/>
      <c r="I119" s="282"/>
      <c r="J119" s="282"/>
      <c r="K119" s="282"/>
      <c r="L119" s="282"/>
      <c r="M119" s="282"/>
      <c r="N119" s="282"/>
      <c r="O119" s="28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282"/>
      <c r="B120" s="338" t="s">
        <v>639</v>
      </c>
      <c r="C120" s="338" t="s">
        <v>87</v>
      </c>
      <c r="D120" s="338" t="s">
        <v>643</v>
      </c>
      <c r="E120" s="338" t="s">
        <v>655</v>
      </c>
      <c r="F120" s="338" t="s">
        <v>673</v>
      </c>
      <c r="G120" s="342" t="s">
        <v>679</v>
      </c>
      <c r="H120" s="282"/>
      <c r="I120" s="282"/>
      <c r="J120" s="282"/>
      <c r="K120" s="282"/>
      <c r="L120" s="282"/>
      <c r="M120" s="282"/>
      <c r="N120" s="282"/>
      <c r="O120" s="28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282"/>
      <c r="B121" s="338" t="s">
        <v>639</v>
      </c>
      <c r="C121" s="338" t="s">
        <v>87</v>
      </c>
      <c r="D121" s="338" t="s">
        <v>555</v>
      </c>
      <c r="E121" s="338" t="s">
        <v>655</v>
      </c>
      <c r="F121" s="338" t="s">
        <v>673</v>
      </c>
      <c r="G121" s="342" t="s">
        <v>680</v>
      </c>
      <c r="H121" s="282"/>
      <c r="I121" s="282"/>
      <c r="J121" s="282"/>
      <c r="K121" s="282"/>
      <c r="L121" s="282"/>
      <c r="M121" s="282"/>
      <c r="N121" s="282"/>
      <c r="O121" s="28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282"/>
      <c r="B122" s="338" t="s">
        <v>639</v>
      </c>
      <c r="C122" s="338" t="s">
        <v>98</v>
      </c>
      <c r="D122" s="338" t="s">
        <v>641</v>
      </c>
      <c r="E122" s="338" t="s">
        <v>655</v>
      </c>
      <c r="F122" s="338" t="s">
        <v>673</v>
      </c>
      <c r="G122" s="342" t="s">
        <v>681</v>
      </c>
      <c r="H122" s="282"/>
      <c r="I122" s="282"/>
      <c r="J122" s="282"/>
      <c r="K122" s="282"/>
      <c r="L122" s="282"/>
      <c r="M122" s="282"/>
      <c r="N122" s="282"/>
      <c r="O122" s="28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282"/>
      <c r="B123" s="338" t="s">
        <v>644</v>
      </c>
      <c r="C123" s="338" t="s">
        <v>16</v>
      </c>
      <c r="D123" s="338" t="s">
        <v>566</v>
      </c>
      <c r="E123" s="338" t="s">
        <v>655</v>
      </c>
      <c r="F123" s="338" t="s">
        <v>673</v>
      </c>
      <c r="G123" s="342" t="s">
        <v>682</v>
      </c>
      <c r="H123" s="282"/>
      <c r="I123" s="282"/>
      <c r="J123" s="282"/>
      <c r="K123" s="282"/>
      <c r="L123" s="282"/>
      <c r="M123" s="282"/>
      <c r="N123" s="282"/>
      <c r="O123" s="28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282"/>
      <c r="B124" s="338" t="s">
        <v>644</v>
      </c>
      <c r="C124" s="338" t="s">
        <v>16</v>
      </c>
      <c r="D124" s="338" t="s">
        <v>568</v>
      </c>
      <c r="E124" s="338" t="s">
        <v>655</v>
      </c>
      <c r="F124" s="338" t="s">
        <v>673</v>
      </c>
      <c r="G124" s="342" t="s">
        <v>683</v>
      </c>
      <c r="H124" s="282"/>
      <c r="I124" s="282"/>
      <c r="J124" s="282"/>
      <c r="K124" s="282"/>
      <c r="L124" s="282"/>
      <c r="M124" s="282"/>
      <c r="N124" s="282"/>
      <c r="O124" s="28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282"/>
      <c r="B125" s="338" t="s">
        <v>644</v>
      </c>
      <c r="C125" s="338" t="s">
        <v>10</v>
      </c>
      <c r="D125" s="338" t="s">
        <v>560</v>
      </c>
      <c r="E125" s="338" t="s">
        <v>655</v>
      </c>
      <c r="F125" s="338" t="s">
        <v>673</v>
      </c>
      <c r="G125" s="342" t="s">
        <v>684</v>
      </c>
      <c r="H125" s="282"/>
      <c r="I125" s="282"/>
      <c r="J125" s="282"/>
      <c r="K125" s="282"/>
      <c r="L125" s="282"/>
      <c r="M125" s="282"/>
      <c r="N125" s="282"/>
      <c r="O125" s="28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282"/>
      <c r="B126" s="338" t="s">
        <v>645</v>
      </c>
      <c r="C126" s="338" t="s">
        <v>12</v>
      </c>
      <c r="D126" s="338" t="s">
        <v>646</v>
      </c>
      <c r="E126" s="338" t="s">
        <v>655</v>
      </c>
      <c r="F126" s="338" t="s">
        <v>673</v>
      </c>
      <c r="G126" s="342" t="s">
        <v>680</v>
      </c>
      <c r="H126" s="282"/>
      <c r="I126" s="282"/>
      <c r="J126" s="282"/>
      <c r="K126" s="282"/>
      <c r="L126" s="282"/>
      <c r="M126" s="282"/>
      <c r="N126" s="282"/>
      <c r="O126" s="28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282"/>
      <c r="B127" s="338" t="s">
        <v>645</v>
      </c>
      <c r="C127" s="338" t="s">
        <v>17</v>
      </c>
      <c r="D127" s="338" t="s">
        <v>647</v>
      </c>
      <c r="E127" s="338" t="s">
        <v>655</v>
      </c>
      <c r="F127" s="338" t="s">
        <v>673</v>
      </c>
      <c r="G127" s="342" t="s">
        <v>685</v>
      </c>
      <c r="H127" s="282"/>
      <c r="I127" s="282"/>
      <c r="J127" s="282"/>
      <c r="K127" s="282"/>
      <c r="L127" s="282"/>
      <c r="M127" s="282"/>
      <c r="N127" s="282"/>
      <c r="O127" s="28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282"/>
      <c r="B128" s="338" t="s">
        <v>645</v>
      </c>
      <c r="C128" s="338" t="s">
        <v>4</v>
      </c>
      <c r="D128" s="338" t="s">
        <v>668</v>
      </c>
      <c r="E128" s="338" t="s">
        <v>655</v>
      </c>
      <c r="F128" s="338" t="s">
        <v>673</v>
      </c>
      <c r="G128" s="342" t="s">
        <v>686</v>
      </c>
      <c r="H128" s="282"/>
      <c r="I128" s="282"/>
      <c r="J128" s="282"/>
      <c r="K128" s="282"/>
      <c r="L128" s="282"/>
      <c r="M128" s="282"/>
      <c r="N128" s="282"/>
      <c r="O128" s="28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282"/>
      <c r="B129" s="338" t="s">
        <v>645</v>
      </c>
      <c r="C129" s="338" t="s">
        <v>4</v>
      </c>
      <c r="D129" s="338" t="s">
        <v>562</v>
      </c>
      <c r="E129" s="338" t="s">
        <v>655</v>
      </c>
      <c r="F129" s="338" t="s">
        <v>673</v>
      </c>
      <c r="G129" s="342" t="s">
        <v>687</v>
      </c>
      <c r="H129" s="282"/>
      <c r="I129" s="282"/>
      <c r="J129" s="282"/>
      <c r="K129" s="282"/>
      <c r="L129" s="282"/>
      <c r="M129" s="282"/>
      <c r="N129" s="282"/>
      <c r="O129" s="28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282"/>
      <c r="B130" s="338" t="s">
        <v>645</v>
      </c>
      <c r="C130" s="338" t="s">
        <v>4</v>
      </c>
      <c r="D130" s="338" t="s">
        <v>649</v>
      </c>
      <c r="E130" s="338" t="s">
        <v>655</v>
      </c>
      <c r="F130" s="338" t="s">
        <v>673</v>
      </c>
      <c r="G130" s="342" t="s">
        <v>688</v>
      </c>
      <c r="H130" s="282"/>
      <c r="I130" s="282"/>
      <c r="J130" s="282"/>
      <c r="K130" s="282"/>
      <c r="L130" s="282"/>
      <c r="M130" s="282"/>
      <c r="N130" s="282"/>
      <c r="O130" s="28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282"/>
      <c r="B131" s="338" t="s">
        <v>645</v>
      </c>
      <c r="C131" s="338" t="s">
        <v>4</v>
      </c>
      <c r="D131" s="338" t="s">
        <v>564</v>
      </c>
      <c r="E131" s="338" t="s">
        <v>655</v>
      </c>
      <c r="F131" s="338" t="s">
        <v>673</v>
      </c>
      <c r="G131" s="342" t="s">
        <v>685</v>
      </c>
      <c r="H131" s="282"/>
      <c r="I131" s="282"/>
      <c r="J131" s="282"/>
      <c r="K131" s="282"/>
      <c r="L131" s="282"/>
      <c r="M131" s="282"/>
      <c r="N131" s="282"/>
      <c r="O131" s="28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282"/>
      <c r="B132" s="338" t="s">
        <v>645</v>
      </c>
      <c r="C132" s="354" t="s">
        <v>11</v>
      </c>
      <c r="D132" s="338" t="s">
        <v>578</v>
      </c>
      <c r="E132" s="338" t="s">
        <v>655</v>
      </c>
      <c r="F132" s="338" t="s">
        <v>673</v>
      </c>
      <c r="G132" s="342" t="s">
        <v>682</v>
      </c>
      <c r="H132" s="282"/>
      <c r="I132" s="282"/>
      <c r="J132" s="282"/>
      <c r="K132" s="282"/>
      <c r="L132" s="282"/>
      <c r="M132" s="282"/>
      <c r="N132" s="282"/>
      <c r="O132" s="28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633" t="s">
        <v>633</v>
      </c>
      <c r="B136" s="621"/>
      <c r="C136" s="621"/>
      <c r="D136" s="621"/>
      <c r="E136" s="621"/>
      <c r="F136" s="621"/>
      <c r="G136" s="50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355" t="s">
        <v>689</v>
      </c>
      <c r="B137" s="356" t="s">
        <v>114</v>
      </c>
      <c r="C137" s="356" t="s">
        <v>690</v>
      </c>
      <c r="D137" s="356" t="s">
        <v>691</v>
      </c>
      <c r="E137" s="357" t="s">
        <v>692</v>
      </c>
      <c r="F137" s="357" t="s">
        <v>15</v>
      </c>
      <c r="G137" s="357" t="s">
        <v>62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634" t="s">
        <v>635</v>
      </c>
      <c r="B138" s="637" t="s">
        <v>693</v>
      </c>
      <c r="C138" s="358" t="s">
        <v>92</v>
      </c>
      <c r="D138" s="359" t="s">
        <v>69</v>
      </c>
      <c r="E138" s="360">
        <v>450</v>
      </c>
      <c r="F138" s="361">
        <v>50</v>
      </c>
      <c r="G138" s="362">
        <v>20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635"/>
      <c r="B139" s="635"/>
      <c r="C139" s="358" t="s">
        <v>694</v>
      </c>
      <c r="D139" s="359" t="s">
        <v>58</v>
      </c>
      <c r="E139" s="360">
        <v>550</v>
      </c>
      <c r="F139" s="363">
        <v>50</v>
      </c>
      <c r="G139" s="363">
        <v>20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635"/>
      <c r="B140" s="635"/>
      <c r="C140" s="358" t="s">
        <v>84</v>
      </c>
      <c r="D140" s="359" t="s">
        <v>43</v>
      </c>
      <c r="E140" s="364">
        <v>580</v>
      </c>
      <c r="F140" s="363">
        <v>50</v>
      </c>
      <c r="G140" s="363">
        <v>20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635"/>
      <c r="B141" s="636"/>
      <c r="C141" s="365" t="s">
        <v>695</v>
      </c>
      <c r="D141" s="366" t="s">
        <v>696</v>
      </c>
      <c r="E141" s="364">
        <v>650</v>
      </c>
      <c r="F141" s="363">
        <v>50</v>
      </c>
      <c r="G141" s="363">
        <v>20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635"/>
      <c r="B142" s="637" t="s">
        <v>697</v>
      </c>
      <c r="C142" s="358" t="s">
        <v>89</v>
      </c>
      <c r="D142" s="359" t="s">
        <v>44</v>
      </c>
      <c r="E142" s="364">
        <v>450</v>
      </c>
      <c r="F142" s="363">
        <v>50</v>
      </c>
      <c r="G142" s="363">
        <v>20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635"/>
      <c r="B143" s="635"/>
      <c r="C143" s="358" t="s">
        <v>92</v>
      </c>
      <c r="D143" s="359" t="s">
        <v>36</v>
      </c>
      <c r="E143" s="364">
        <v>550</v>
      </c>
      <c r="F143" s="363">
        <v>50</v>
      </c>
      <c r="G143" s="363">
        <v>20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635"/>
      <c r="B144" s="635"/>
      <c r="C144" s="358" t="s">
        <v>84</v>
      </c>
      <c r="D144" s="359" t="s">
        <v>21</v>
      </c>
      <c r="E144" s="364">
        <v>580</v>
      </c>
      <c r="F144" s="363">
        <v>50</v>
      </c>
      <c r="G144" s="363">
        <v>20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636"/>
      <c r="B145" s="636"/>
      <c r="C145" s="365" t="s">
        <v>97</v>
      </c>
      <c r="D145" s="366" t="s">
        <v>698</v>
      </c>
      <c r="E145" s="364">
        <v>600</v>
      </c>
      <c r="F145" s="363">
        <v>50</v>
      </c>
      <c r="G145" s="363">
        <v>20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634" t="s">
        <v>52</v>
      </c>
      <c r="B146" s="637" t="s">
        <v>699</v>
      </c>
      <c r="C146" s="358" t="s">
        <v>89</v>
      </c>
      <c r="D146" s="359" t="s">
        <v>107</v>
      </c>
      <c r="E146" s="364">
        <v>410</v>
      </c>
      <c r="F146" s="363">
        <v>50</v>
      </c>
      <c r="G146" s="363">
        <v>20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635"/>
      <c r="B147" s="635"/>
      <c r="C147" s="358" t="s">
        <v>92</v>
      </c>
      <c r="D147" s="359" t="s">
        <v>55</v>
      </c>
      <c r="E147" s="364">
        <v>450</v>
      </c>
      <c r="F147" s="363">
        <v>50</v>
      </c>
      <c r="G147" s="363">
        <v>20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635"/>
      <c r="B148" s="635"/>
      <c r="C148" s="358" t="s">
        <v>84</v>
      </c>
      <c r="D148" s="359" t="s">
        <v>29</v>
      </c>
      <c r="E148" s="364">
        <v>500</v>
      </c>
      <c r="F148" s="363">
        <v>50</v>
      </c>
      <c r="G148" s="363">
        <v>20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636"/>
      <c r="B149" s="636"/>
      <c r="C149" s="365" t="s">
        <v>97</v>
      </c>
      <c r="D149" s="366" t="s">
        <v>57</v>
      </c>
      <c r="E149" s="364">
        <v>500</v>
      </c>
      <c r="F149" s="363">
        <v>50</v>
      </c>
      <c r="G149" s="363">
        <v>20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642" t="s">
        <v>87</v>
      </c>
      <c r="B150" s="637" t="s">
        <v>101</v>
      </c>
      <c r="C150" s="367" t="s">
        <v>92</v>
      </c>
      <c r="D150" s="368" t="s">
        <v>30</v>
      </c>
      <c r="E150" s="369">
        <v>400</v>
      </c>
      <c r="F150" s="370">
        <v>50</v>
      </c>
      <c r="G150" s="370">
        <v>20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639"/>
      <c r="B151" s="635"/>
      <c r="C151" s="367" t="s">
        <v>84</v>
      </c>
      <c r="D151" s="368" t="s">
        <v>700</v>
      </c>
      <c r="E151" s="369">
        <v>420</v>
      </c>
      <c r="F151" s="370">
        <v>50</v>
      </c>
      <c r="G151" s="370">
        <v>20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639"/>
      <c r="B152" s="636"/>
      <c r="C152" s="371" t="s">
        <v>100</v>
      </c>
      <c r="D152" s="372" t="s">
        <v>701</v>
      </c>
      <c r="E152" s="369">
        <v>500</v>
      </c>
      <c r="F152" s="370">
        <v>50</v>
      </c>
      <c r="G152" s="370">
        <v>20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639"/>
      <c r="B153" s="637" t="s">
        <v>702</v>
      </c>
      <c r="C153" s="367" t="s">
        <v>97</v>
      </c>
      <c r="D153" s="368" t="s">
        <v>703</v>
      </c>
      <c r="E153" s="369">
        <v>450</v>
      </c>
      <c r="F153" s="370">
        <v>50</v>
      </c>
      <c r="G153" s="370">
        <v>20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640"/>
      <c r="B154" s="636"/>
      <c r="C154" s="371" t="s">
        <v>102</v>
      </c>
      <c r="D154" s="372" t="s">
        <v>704</v>
      </c>
      <c r="E154" s="369">
        <v>480</v>
      </c>
      <c r="F154" s="370">
        <v>50</v>
      </c>
      <c r="G154" s="370">
        <v>20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638" t="s">
        <v>640</v>
      </c>
      <c r="B155" s="637" t="s">
        <v>705</v>
      </c>
      <c r="C155" s="367" t="s">
        <v>99</v>
      </c>
      <c r="D155" s="368" t="s">
        <v>706</v>
      </c>
      <c r="E155" s="369">
        <v>700</v>
      </c>
      <c r="F155" s="370">
        <v>50</v>
      </c>
      <c r="G155" s="370">
        <v>20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640"/>
      <c r="B156" s="636"/>
      <c r="C156" s="371" t="s">
        <v>100</v>
      </c>
      <c r="D156" s="372" t="s">
        <v>707</v>
      </c>
      <c r="E156" s="369">
        <v>650</v>
      </c>
      <c r="F156" s="370">
        <v>50</v>
      </c>
      <c r="G156" s="370">
        <v>20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634" t="s">
        <v>35</v>
      </c>
      <c r="B157" s="637" t="s">
        <v>708</v>
      </c>
      <c r="C157" s="367" t="s">
        <v>89</v>
      </c>
      <c r="D157" s="368" t="s">
        <v>24</v>
      </c>
      <c r="E157" s="369">
        <v>310</v>
      </c>
      <c r="F157" s="370">
        <v>50</v>
      </c>
      <c r="G157" s="370">
        <v>20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635"/>
      <c r="B158" s="635"/>
      <c r="C158" s="367" t="s">
        <v>92</v>
      </c>
      <c r="D158" s="368" t="s">
        <v>36</v>
      </c>
      <c r="E158" s="369">
        <v>360</v>
      </c>
      <c r="F158" s="370">
        <v>50</v>
      </c>
      <c r="G158" s="370">
        <v>20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635"/>
      <c r="B159" s="635"/>
      <c r="C159" s="367" t="s">
        <v>709</v>
      </c>
      <c r="D159" s="368" t="s">
        <v>42</v>
      </c>
      <c r="E159" s="369">
        <v>410</v>
      </c>
      <c r="F159" s="370">
        <v>50</v>
      </c>
      <c r="G159" s="370">
        <v>20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635"/>
      <c r="B160" s="635"/>
      <c r="C160" s="367" t="s">
        <v>84</v>
      </c>
      <c r="D160" s="368" t="s">
        <v>710</v>
      </c>
      <c r="E160" s="369">
        <v>400</v>
      </c>
      <c r="F160" s="370">
        <v>50</v>
      </c>
      <c r="G160" s="370">
        <v>20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635"/>
      <c r="B161" s="635"/>
      <c r="C161" s="367" t="s">
        <v>99</v>
      </c>
      <c r="D161" s="368" t="s">
        <v>711</v>
      </c>
      <c r="E161" s="373">
        <v>460</v>
      </c>
      <c r="F161" s="370">
        <v>50</v>
      </c>
      <c r="G161" s="370">
        <v>20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636"/>
      <c r="B162" s="636"/>
      <c r="C162" s="371" t="s">
        <v>102</v>
      </c>
      <c r="D162" s="372" t="s">
        <v>712</v>
      </c>
      <c r="E162" s="373">
        <v>450</v>
      </c>
      <c r="F162" s="370">
        <v>50</v>
      </c>
      <c r="G162" s="370">
        <v>20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638" t="s">
        <v>10</v>
      </c>
      <c r="B163" s="637" t="s">
        <v>93</v>
      </c>
      <c r="C163" s="374" t="s">
        <v>89</v>
      </c>
      <c r="D163" s="375" t="s">
        <v>713</v>
      </c>
      <c r="E163" s="376">
        <v>270</v>
      </c>
      <c r="F163" s="377">
        <v>30</v>
      </c>
      <c r="G163" s="377">
        <v>10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639"/>
      <c r="B164" s="635"/>
      <c r="C164" s="374" t="s">
        <v>92</v>
      </c>
      <c r="D164" s="375" t="s">
        <v>714</v>
      </c>
      <c r="E164" s="376">
        <v>330</v>
      </c>
      <c r="F164" s="377">
        <v>30</v>
      </c>
      <c r="G164" s="377">
        <v>10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639"/>
      <c r="B165" s="635"/>
      <c r="C165" s="374" t="s">
        <v>84</v>
      </c>
      <c r="D165" s="375" t="s">
        <v>715</v>
      </c>
      <c r="E165" s="376">
        <v>375</v>
      </c>
      <c r="F165" s="377">
        <v>30</v>
      </c>
      <c r="G165" s="377">
        <v>10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640"/>
      <c r="B166" s="636"/>
      <c r="C166" s="378" t="s">
        <v>90</v>
      </c>
      <c r="D166" s="379" t="s">
        <v>34</v>
      </c>
      <c r="E166" s="376">
        <v>400</v>
      </c>
      <c r="F166" s="377">
        <v>30</v>
      </c>
      <c r="G166" s="377">
        <v>10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641" t="s">
        <v>4</v>
      </c>
      <c r="B167" s="637" t="s">
        <v>169</v>
      </c>
      <c r="C167" s="374" t="s">
        <v>89</v>
      </c>
      <c r="D167" s="375" t="s">
        <v>54</v>
      </c>
      <c r="E167" s="376">
        <v>280</v>
      </c>
      <c r="F167" s="377">
        <v>30</v>
      </c>
      <c r="G167" s="377">
        <v>10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635"/>
      <c r="B168" s="635"/>
      <c r="C168" s="374" t="s">
        <v>92</v>
      </c>
      <c r="D168" s="375" t="s">
        <v>46</v>
      </c>
      <c r="E168" s="376">
        <v>330</v>
      </c>
      <c r="F168" s="377">
        <v>30</v>
      </c>
      <c r="G168" s="377">
        <v>10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635"/>
      <c r="B169" s="635"/>
      <c r="C169" s="374" t="s">
        <v>91</v>
      </c>
      <c r="D169" s="375" t="s">
        <v>716</v>
      </c>
      <c r="E169" s="376">
        <v>350</v>
      </c>
      <c r="F169" s="377">
        <v>30</v>
      </c>
      <c r="G169" s="377">
        <v>10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635"/>
      <c r="B170" s="636"/>
      <c r="C170" s="378" t="s">
        <v>90</v>
      </c>
      <c r="D170" s="379" t="s">
        <v>703</v>
      </c>
      <c r="E170" s="376">
        <v>400</v>
      </c>
      <c r="F170" s="377">
        <v>30</v>
      </c>
      <c r="G170" s="377">
        <v>10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635"/>
      <c r="B171" s="637" t="s">
        <v>95</v>
      </c>
      <c r="C171" s="374" t="s">
        <v>89</v>
      </c>
      <c r="D171" s="375" t="s">
        <v>27</v>
      </c>
      <c r="E171" s="376">
        <v>270</v>
      </c>
      <c r="F171" s="377">
        <v>30</v>
      </c>
      <c r="G171" s="377">
        <v>10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635"/>
      <c r="B172" s="635"/>
      <c r="C172" s="374" t="s">
        <v>92</v>
      </c>
      <c r="D172" s="375" t="s">
        <v>46</v>
      </c>
      <c r="E172" s="376">
        <v>320</v>
      </c>
      <c r="F172" s="377">
        <v>30</v>
      </c>
      <c r="G172" s="377">
        <v>10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635"/>
      <c r="B173" s="636"/>
      <c r="C173" s="378" t="s">
        <v>84</v>
      </c>
      <c r="D173" s="379" t="s">
        <v>22</v>
      </c>
      <c r="E173" s="376">
        <v>370</v>
      </c>
      <c r="F173" s="377">
        <v>30</v>
      </c>
      <c r="G173" s="377">
        <v>10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635"/>
      <c r="B174" s="637" t="s">
        <v>717</v>
      </c>
      <c r="C174" s="374" t="s">
        <v>89</v>
      </c>
      <c r="D174" s="375" t="s">
        <v>39</v>
      </c>
      <c r="E174" s="376">
        <v>270</v>
      </c>
      <c r="F174" s="377">
        <v>30</v>
      </c>
      <c r="G174" s="377">
        <v>10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635"/>
      <c r="B175" s="635"/>
      <c r="C175" s="374" t="s">
        <v>92</v>
      </c>
      <c r="D175" s="375" t="s">
        <v>33</v>
      </c>
      <c r="E175" s="376">
        <v>320</v>
      </c>
      <c r="F175" s="377">
        <v>30</v>
      </c>
      <c r="G175" s="377">
        <v>10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635"/>
      <c r="B176" s="635"/>
      <c r="C176" s="374" t="s">
        <v>84</v>
      </c>
      <c r="D176" s="375" t="s">
        <v>718</v>
      </c>
      <c r="E176" s="376">
        <v>370</v>
      </c>
      <c r="F176" s="377">
        <v>30</v>
      </c>
      <c r="G176" s="377">
        <v>10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635"/>
      <c r="B177" s="636"/>
      <c r="C177" s="378" t="s">
        <v>90</v>
      </c>
      <c r="D177" s="379" t="s">
        <v>719</v>
      </c>
      <c r="E177" s="376">
        <v>410</v>
      </c>
      <c r="F177" s="377">
        <v>30</v>
      </c>
      <c r="G177" s="377">
        <v>10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635"/>
      <c r="B178" s="645" t="s">
        <v>167</v>
      </c>
      <c r="C178" s="374" t="s">
        <v>89</v>
      </c>
      <c r="D178" s="375" t="s">
        <v>56</v>
      </c>
      <c r="E178" s="376">
        <v>270</v>
      </c>
      <c r="F178" s="377">
        <v>30</v>
      </c>
      <c r="G178" s="377">
        <v>10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635"/>
      <c r="B179" s="635"/>
      <c r="C179" s="374" t="s">
        <v>92</v>
      </c>
      <c r="D179" s="375" t="s">
        <v>51</v>
      </c>
      <c r="E179" s="376">
        <v>320</v>
      </c>
      <c r="F179" s="377">
        <v>30</v>
      </c>
      <c r="G179" s="377">
        <v>10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635"/>
      <c r="B180" s="635"/>
      <c r="C180" s="374" t="s">
        <v>84</v>
      </c>
      <c r="D180" s="375" t="s">
        <v>720</v>
      </c>
      <c r="E180" s="376">
        <v>380</v>
      </c>
      <c r="F180" s="377">
        <v>30</v>
      </c>
      <c r="G180" s="377">
        <v>10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636"/>
      <c r="B181" s="636"/>
      <c r="C181" s="378" t="s">
        <v>90</v>
      </c>
      <c r="D181" s="379" t="s">
        <v>721</v>
      </c>
      <c r="E181" s="376">
        <v>400</v>
      </c>
      <c r="F181" s="377">
        <v>30</v>
      </c>
      <c r="G181" s="377">
        <v>10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634" t="s">
        <v>12</v>
      </c>
      <c r="B182" s="637" t="s">
        <v>96</v>
      </c>
      <c r="C182" s="380" t="s">
        <v>89</v>
      </c>
      <c r="D182" s="381" t="s">
        <v>722</v>
      </c>
      <c r="E182" s="382">
        <v>320</v>
      </c>
      <c r="F182" s="383">
        <v>30</v>
      </c>
      <c r="G182" s="383">
        <v>10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635"/>
      <c r="B183" s="635"/>
      <c r="C183" s="380" t="s">
        <v>92</v>
      </c>
      <c r="D183" s="381" t="s">
        <v>25</v>
      </c>
      <c r="E183" s="382">
        <v>360</v>
      </c>
      <c r="F183" s="383">
        <v>30</v>
      </c>
      <c r="G183" s="383">
        <v>10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635"/>
      <c r="B184" s="635"/>
      <c r="C184" s="380" t="s">
        <v>84</v>
      </c>
      <c r="D184" s="381" t="s">
        <v>53</v>
      </c>
      <c r="E184" s="382">
        <v>400</v>
      </c>
      <c r="F184" s="383">
        <v>30</v>
      </c>
      <c r="G184" s="383">
        <v>10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636"/>
      <c r="B185" s="636"/>
      <c r="C185" s="384" t="s">
        <v>97</v>
      </c>
      <c r="D185" s="385" t="s">
        <v>32</v>
      </c>
      <c r="E185" s="382">
        <v>410</v>
      </c>
      <c r="F185" s="383">
        <v>30</v>
      </c>
      <c r="G185" s="383">
        <v>10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634" t="s">
        <v>16</v>
      </c>
      <c r="B186" s="637" t="s">
        <v>94</v>
      </c>
      <c r="C186" s="380" t="s">
        <v>89</v>
      </c>
      <c r="D186" s="381" t="s">
        <v>48</v>
      </c>
      <c r="E186" s="382">
        <v>360</v>
      </c>
      <c r="F186" s="383">
        <v>40</v>
      </c>
      <c r="G186" s="383">
        <v>15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635"/>
      <c r="B187" s="635"/>
      <c r="C187" s="380" t="s">
        <v>92</v>
      </c>
      <c r="D187" s="381" t="s">
        <v>58</v>
      </c>
      <c r="E187" s="382">
        <v>430</v>
      </c>
      <c r="F187" s="383">
        <v>40</v>
      </c>
      <c r="G187" s="383">
        <v>15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635"/>
      <c r="B188" s="635"/>
      <c r="C188" s="380" t="s">
        <v>84</v>
      </c>
      <c r="D188" s="381" t="s">
        <v>723</v>
      </c>
      <c r="E188" s="382">
        <v>460</v>
      </c>
      <c r="F188" s="383">
        <v>40</v>
      </c>
      <c r="G188" s="383">
        <v>15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635"/>
      <c r="B189" s="636"/>
      <c r="C189" s="384" t="s">
        <v>100</v>
      </c>
      <c r="D189" s="385" t="s">
        <v>724</v>
      </c>
      <c r="E189" s="382">
        <v>510</v>
      </c>
      <c r="F189" s="383">
        <v>40</v>
      </c>
      <c r="G189" s="383">
        <v>15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635"/>
      <c r="B190" s="637" t="s">
        <v>83</v>
      </c>
      <c r="C190" s="380" t="s">
        <v>89</v>
      </c>
      <c r="D190" s="381" t="s">
        <v>7</v>
      </c>
      <c r="E190" s="382">
        <v>370</v>
      </c>
      <c r="F190" s="383">
        <v>40</v>
      </c>
      <c r="G190" s="383">
        <v>15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635"/>
      <c r="B191" s="635"/>
      <c r="C191" s="386" t="s">
        <v>92</v>
      </c>
      <c r="D191" s="381" t="s">
        <v>46</v>
      </c>
      <c r="E191" s="382">
        <v>440</v>
      </c>
      <c r="F191" s="383">
        <v>40</v>
      </c>
      <c r="G191" s="383">
        <v>15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636"/>
      <c r="B192" s="636"/>
      <c r="C192" s="387" t="s">
        <v>84</v>
      </c>
      <c r="D192" s="385" t="s">
        <v>38</v>
      </c>
      <c r="E192" s="382">
        <v>480</v>
      </c>
      <c r="F192" s="383">
        <v>40</v>
      </c>
      <c r="G192" s="383">
        <v>15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634" t="s">
        <v>17</v>
      </c>
      <c r="B193" s="637" t="s">
        <v>168</v>
      </c>
      <c r="C193" s="380" t="s">
        <v>89</v>
      </c>
      <c r="D193" s="381" t="s">
        <v>73</v>
      </c>
      <c r="E193" s="382">
        <v>300</v>
      </c>
      <c r="F193" s="383">
        <v>30</v>
      </c>
      <c r="G193" s="383">
        <v>10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635"/>
      <c r="B194" s="635"/>
      <c r="C194" s="380" t="s">
        <v>92</v>
      </c>
      <c r="D194" s="381" t="s">
        <v>9</v>
      </c>
      <c r="E194" s="382">
        <v>340</v>
      </c>
      <c r="F194" s="383">
        <v>30</v>
      </c>
      <c r="G194" s="383">
        <v>10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635"/>
      <c r="B195" s="635"/>
      <c r="C195" s="380" t="s">
        <v>81</v>
      </c>
      <c r="D195" s="381" t="s">
        <v>710</v>
      </c>
      <c r="E195" s="382">
        <v>400</v>
      </c>
      <c r="F195" s="383">
        <v>30</v>
      </c>
      <c r="G195" s="383">
        <v>10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636"/>
      <c r="B196" s="636"/>
      <c r="C196" s="380" t="s">
        <v>100</v>
      </c>
      <c r="D196" s="381" t="s">
        <v>725</v>
      </c>
      <c r="E196" s="382">
        <v>430</v>
      </c>
      <c r="F196" s="383">
        <v>30</v>
      </c>
      <c r="G196" s="383">
        <v>10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641" t="s">
        <v>11</v>
      </c>
      <c r="B197" s="643" t="s">
        <v>80</v>
      </c>
      <c r="C197" s="388" t="s">
        <v>726</v>
      </c>
      <c r="D197" s="389" t="s">
        <v>40</v>
      </c>
      <c r="E197" s="390">
        <v>320</v>
      </c>
      <c r="F197" s="383">
        <v>30</v>
      </c>
      <c r="G197" s="383">
        <v>10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635"/>
      <c r="B198" s="635"/>
      <c r="C198" s="391" t="s">
        <v>92</v>
      </c>
      <c r="D198" s="392" t="s">
        <v>25</v>
      </c>
      <c r="E198" s="390">
        <v>365</v>
      </c>
      <c r="F198" s="383">
        <v>30</v>
      </c>
      <c r="G198" s="383">
        <v>10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635"/>
      <c r="B199" s="635"/>
      <c r="C199" s="391" t="s">
        <v>81</v>
      </c>
      <c r="D199" s="392" t="s">
        <v>727</v>
      </c>
      <c r="E199" s="390">
        <v>410</v>
      </c>
      <c r="F199" s="383">
        <v>30</v>
      </c>
      <c r="G199" s="383">
        <v>10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636"/>
      <c r="B200" s="636"/>
      <c r="C200" s="393" t="s">
        <v>82</v>
      </c>
      <c r="D200" s="394" t="s">
        <v>28</v>
      </c>
      <c r="E200" s="390">
        <v>440</v>
      </c>
      <c r="F200" s="383">
        <v>30</v>
      </c>
      <c r="G200" s="383">
        <v>10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395" t="s">
        <v>728</v>
      </c>
      <c r="B204" s="396" t="s">
        <v>689</v>
      </c>
      <c r="C204" s="396" t="s">
        <v>729</v>
      </c>
      <c r="D204" s="396" t="s">
        <v>730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397" t="s">
        <v>731</v>
      </c>
      <c r="B205" s="398"/>
      <c r="C205" s="398"/>
      <c r="D205" s="39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400"/>
      <c r="B206" s="108" t="s">
        <v>52</v>
      </c>
      <c r="C206" s="108" t="s">
        <v>732</v>
      </c>
      <c r="D206" s="401" t="s">
        <v>733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400"/>
      <c r="B207" s="108" t="s">
        <v>26</v>
      </c>
      <c r="C207" s="108" t="s">
        <v>734</v>
      </c>
      <c r="D207" s="401" t="s">
        <v>735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400"/>
      <c r="B208" s="108" t="s">
        <v>87</v>
      </c>
      <c r="C208" s="108" t="s">
        <v>85</v>
      </c>
      <c r="D208" s="401" t="s">
        <v>736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400"/>
      <c r="B209" s="108" t="s">
        <v>11</v>
      </c>
      <c r="C209" s="108" t="s">
        <v>80</v>
      </c>
      <c r="D209" s="401" t="s">
        <v>736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644" t="s">
        <v>737</v>
      </c>
      <c r="B210" s="626"/>
      <c r="C210" s="398"/>
      <c r="D210" s="39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400"/>
      <c r="B211" s="108" t="s">
        <v>635</v>
      </c>
      <c r="C211" s="108" t="s">
        <v>738</v>
      </c>
      <c r="D211" s="401" t="s">
        <v>739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400"/>
      <c r="B212" s="108" t="s">
        <v>635</v>
      </c>
      <c r="C212" s="108" t="s">
        <v>693</v>
      </c>
      <c r="D212" s="401" t="s">
        <v>735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400"/>
      <c r="B213" s="108" t="s">
        <v>635</v>
      </c>
      <c r="C213" s="108" t="s">
        <v>697</v>
      </c>
      <c r="D213" s="401" t="s">
        <v>735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400"/>
      <c r="B214" s="108" t="s">
        <v>52</v>
      </c>
      <c r="C214" s="108" t="s">
        <v>740</v>
      </c>
      <c r="D214" s="401" t="s">
        <v>736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400"/>
      <c r="B215" s="108" t="s">
        <v>87</v>
      </c>
      <c r="C215" s="108" t="s">
        <v>101</v>
      </c>
      <c r="D215" s="401" t="s">
        <v>736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400"/>
      <c r="B216" s="108" t="s">
        <v>87</v>
      </c>
      <c r="C216" s="108" t="s">
        <v>708</v>
      </c>
      <c r="D216" s="401" t="s">
        <v>733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400"/>
      <c r="B217" s="108" t="s">
        <v>87</v>
      </c>
      <c r="C217" s="108" t="s">
        <v>741</v>
      </c>
      <c r="D217" s="401" t="s">
        <v>733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400"/>
      <c r="B218" s="108" t="s">
        <v>87</v>
      </c>
      <c r="C218" s="108" t="s">
        <v>86</v>
      </c>
      <c r="D218" s="401" t="s">
        <v>742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400"/>
      <c r="B219" s="108" t="s">
        <v>10</v>
      </c>
      <c r="C219" s="108" t="s">
        <v>93</v>
      </c>
      <c r="D219" s="401" t="s">
        <v>736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400"/>
      <c r="B220" s="108" t="s">
        <v>4</v>
      </c>
      <c r="C220" s="108" t="s">
        <v>95</v>
      </c>
      <c r="D220" s="401" t="s">
        <v>733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400"/>
      <c r="B221" s="108" t="s">
        <v>4</v>
      </c>
      <c r="C221" s="108" t="s">
        <v>169</v>
      </c>
      <c r="D221" s="401" t="s">
        <v>743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400"/>
      <c r="B222" s="108" t="s">
        <v>12</v>
      </c>
      <c r="C222" s="108" t="s">
        <v>96</v>
      </c>
      <c r="D222" s="401" t="s">
        <v>743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400"/>
      <c r="B223" s="108" t="s">
        <v>744</v>
      </c>
      <c r="C223" s="108" t="s">
        <v>83</v>
      </c>
      <c r="D223" s="401" t="s">
        <v>733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400"/>
      <c r="B224" s="108" t="s">
        <v>744</v>
      </c>
      <c r="C224" s="108" t="s">
        <v>94</v>
      </c>
      <c r="D224" s="401" t="s">
        <v>736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400"/>
      <c r="B225" s="108" t="s">
        <v>4</v>
      </c>
      <c r="C225" s="108" t="s">
        <v>88</v>
      </c>
      <c r="D225" s="401" t="s">
        <v>735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402"/>
      <c r="B226" s="403" t="s">
        <v>4</v>
      </c>
      <c r="C226" s="403" t="s">
        <v>167</v>
      </c>
      <c r="D226" s="404" t="s">
        <v>736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/>
    <row r="428" spans="1:26" ht="15.75" customHeight="1"/>
    <row r="429" spans="1:26" ht="15.75" customHeight="1"/>
    <row r="430" spans="1:26" ht="15.75" customHeight="1"/>
    <row r="431" spans="1:26" ht="15.75" customHeight="1"/>
    <row r="432" spans="1:2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A63:J63"/>
    <mergeCell ref="A64:I64"/>
    <mergeCell ref="A65:M65"/>
    <mergeCell ref="A66:F66"/>
    <mergeCell ref="A58:S58"/>
    <mergeCell ref="A59:I59"/>
    <mergeCell ref="A60:L60"/>
    <mergeCell ref="A61:J61"/>
    <mergeCell ref="A62:X62"/>
    <mergeCell ref="A51:I51"/>
    <mergeCell ref="A52:J52"/>
    <mergeCell ref="A53:K53"/>
    <mergeCell ref="A55:F55"/>
    <mergeCell ref="A57:F57"/>
    <mergeCell ref="A45:F45"/>
    <mergeCell ref="A47:P47"/>
    <mergeCell ref="A48:E48"/>
    <mergeCell ref="A49:K49"/>
    <mergeCell ref="A50:E50"/>
    <mergeCell ref="A25:D25"/>
    <mergeCell ref="E25:G25"/>
    <mergeCell ref="J25:K25"/>
    <mergeCell ref="F31:I31"/>
    <mergeCell ref="J31:K31"/>
    <mergeCell ref="A26:D26"/>
    <mergeCell ref="E26:G26"/>
    <mergeCell ref="A27:D27"/>
    <mergeCell ref="A28:D28"/>
    <mergeCell ref="F28:K28"/>
    <mergeCell ref="F29:I30"/>
    <mergeCell ref="J29:K30"/>
    <mergeCell ref="A29:D29"/>
    <mergeCell ref="A30:D30"/>
    <mergeCell ref="E23:G23"/>
    <mergeCell ref="J23:K23"/>
    <mergeCell ref="A23:D23"/>
    <mergeCell ref="A24:D24"/>
    <mergeCell ref="E24:G24"/>
    <mergeCell ref="J24:K24"/>
    <mergeCell ref="A1:C1"/>
    <mergeCell ref="A2:C2"/>
    <mergeCell ref="A3:C3"/>
    <mergeCell ref="A4:C4"/>
    <mergeCell ref="A6:J6"/>
    <mergeCell ref="B190:B192"/>
    <mergeCell ref="B193:B196"/>
    <mergeCell ref="B197:B200"/>
    <mergeCell ref="A210:B210"/>
    <mergeCell ref="B163:B166"/>
    <mergeCell ref="B167:B170"/>
    <mergeCell ref="B171:B173"/>
    <mergeCell ref="B174:B177"/>
    <mergeCell ref="B178:B181"/>
    <mergeCell ref="B182:B185"/>
    <mergeCell ref="B186:B189"/>
    <mergeCell ref="A186:A192"/>
    <mergeCell ref="A193:A196"/>
    <mergeCell ref="A197:A200"/>
    <mergeCell ref="A146:A149"/>
    <mergeCell ref="A150:A154"/>
    <mergeCell ref="A155:A156"/>
    <mergeCell ref="B146:B149"/>
    <mergeCell ref="A157:A162"/>
    <mergeCell ref="A163:A166"/>
    <mergeCell ref="A167:A181"/>
    <mergeCell ref="A182:A185"/>
    <mergeCell ref="B150:B152"/>
    <mergeCell ref="B153:B154"/>
    <mergeCell ref="B155:B156"/>
    <mergeCell ref="B157:B162"/>
    <mergeCell ref="I112:L112"/>
    <mergeCell ref="J117:K117"/>
    <mergeCell ref="J118:K118"/>
    <mergeCell ref="A136:G136"/>
    <mergeCell ref="A138:A145"/>
    <mergeCell ref="B138:B141"/>
    <mergeCell ref="B142:B145"/>
    <mergeCell ref="I106:L106"/>
    <mergeCell ref="I107:L107"/>
    <mergeCell ref="J108:K108"/>
    <mergeCell ref="I109:J110"/>
    <mergeCell ref="I111:L111"/>
    <mergeCell ref="J99:K99"/>
    <mergeCell ref="I101:L101"/>
    <mergeCell ref="I102:L102"/>
    <mergeCell ref="I104:J104"/>
    <mergeCell ref="K104:L104"/>
    <mergeCell ref="A72:AE72"/>
    <mergeCell ref="A74:M74"/>
    <mergeCell ref="A73:I73"/>
    <mergeCell ref="B77:F77"/>
    <mergeCell ref="B98:G98"/>
    <mergeCell ref="A67:G67"/>
    <mergeCell ref="A68:Q68"/>
    <mergeCell ref="A69:L69"/>
    <mergeCell ref="A70:AA70"/>
    <mergeCell ref="A71:I7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/>
  </sheetViews>
  <sheetFormatPr baseColWidth="10" defaultColWidth="12.5703125" defaultRowHeight="15" customHeight="1"/>
  <cols>
    <col min="1" max="1" width="5.42578125" customWidth="1"/>
    <col min="2" max="2" width="0.42578125" customWidth="1"/>
    <col min="3" max="3" width="21.140625" customWidth="1"/>
    <col min="4" max="4" width="22.42578125" customWidth="1"/>
    <col min="5" max="5" width="24.85546875" customWidth="1"/>
    <col min="6" max="6" width="18.42578125" customWidth="1"/>
    <col min="9" max="9" width="25" customWidth="1"/>
    <col min="10" max="10" width="36.5703125" customWidth="1"/>
    <col min="11" max="11" width="18.140625" customWidth="1"/>
    <col min="12" max="13" width="27.42578125" customWidth="1"/>
    <col min="14" max="15" width="33.2851562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680"/>
      <c r="C3" s="503"/>
      <c r="D3" s="405"/>
      <c r="E3" s="405"/>
      <c r="F3" s="405"/>
      <c r="G3" s="405"/>
      <c r="H3" s="405"/>
      <c r="I3" s="406"/>
      <c r="J3" s="406"/>
      <c r="K3" s="406"/>
      <c r="L3" s="405"/>
      <c r="M3" s="405"/>
      <c r="N3" s="406"/>
      <c r="O3" s="405"/>
      <c r="P3" s="405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405"/>
      <c r="C4" s="681" t="s">
        <v>745</v>
      </c>
      <c r="D4" s="661"/>
      <c r="E4" s="661"/>
      <c r="F4" s="661"/>
      <c r="G4" s="661"/>
      <c r="H4" s="661"/>
      <c r="I4" s="661"/>
      <c r="J4" s="661"/>
      <c r="K4" s="661"/>
      <c r="L4" s="661"/>
      <c r="M4" s="661"/>
      <c r="N4" s="662"/>
      <c r="O4" s="405"/>
      <c r="P4" s="405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405"/>
      <c r="C5" s="663"/>
      <c r="D5" s="502"/>
      <c r="E5" s="502"/>
      <c r="F5" s="502"/>
      <c r="G5" s="502"/>
      <c r="H5" s="502"/>
      <c r="I5" s="502"/>
      <c r="J5" s="502"/>
      <c r="K5" s="502"/>
      <c r="L5" s="502"/>
      <c r="M5" s="502"/>
      <c r="N5" s="503"/>
      <c r="O5" s="405"/>
      <c r="P5" s="40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405"/>
      <c r="C6" s="405"/>
      <c r="D6" s="405"/>
      <c r="E6" s="405"/>
      <c r="F6" s="405"/>
      <c r="G6" s="405"/>
      <c r="H6" s="405"/>
      <c r="I6" s="406"/>
      <c r="J6" s="406"/>
      <c r="K6" s="406"/>
      <c r="L6" s="405"/>
      <c r="M6" s="405"/>
      <c r="N6" s="406"/>
      <c r="O6" s="405"/>
      <c r="P6" s="405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406"/>
      <c r="C7" s="407" t="s">
        <v>123</v>
      </c>
      <c r="D7" s="408" t="s">
        <v>746</v>
      </c>
      <c r="E7" s="408" t="s">
        <v>747</v>
      </c>
      <c r="F7" s="408" t="s">
        <v>748</v>
      </c>
      <c r="G7" s="408" t="s">
        <v>749</v>
      </c>
      <c r="H7" s="408" t="s">
        <v>750</v>
      </c>
      <c r="I7" s="408" t="s">
        <v>751</v>
      </c>
      <c r="J7" s="408" t="s">
        <v>752</v>
      </c>
      <c r="K7" s="408" t="s">
        <v>753</v>
      </c>
      <c r="L7" s="408" t="s">
        <v>754</v>
      </c>
      <c r="M7" s="408" t="s">
        <v>755</v>
      </c>
      <c r="N7" s="408" t="s">
        <v>756</v>
      </c>
      <c r="O7" s="406"/>
      <c r="P7" s="405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406"/>
      <c r="C8" s="409" t="s">
        <v>757</v>
      </c>
      <c r="D8" s="410" t="s">
        <v>60</v>
      </c>
      <c r="E8" s="410" t="s">
        <v>556</v>
      </c>
      <c r="F8" s="410" t="s">
        <v>170</v>
      </c>
      <c r="G8" s="410" t="s">
        <v>758</v>
      </c>
      <c r="H8" s="410">
        <v>1</v>
      </c>
      <c r="I8" s="410" t="s">
        <v>759</v>
      </c>
      <c r="J8" s="410" t="s">
        <v>760</v>
      </c>
      <c r="K8" s="411">
        <v>46081</v>
      </c>
      <c r="L8" s="410" t="s">
        <v>761</v>
      </c>
      <c r="M8" s="410" t="s">
        <v>759</v>
      </c>
      <c r="N8" s="410" t="s">
        <v>762</v>
      </c>
      <c r="O8" s="406"/>
      <c r="P8" s="405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412"/>
      <c r="C9" s="668" t="s">
        <v>763</v>
      </c>
      <c r="D9" s="668" t="s">
        <v>60</v>
      </c>
      <c r="E9" s="668" t="s">
        <v>556</v>
      </c>
      <c r="F9" s="668" t="s">
        <v>170</v>
      </c>
      <c r="G9" s="669">
        <v>0.15</v>
      </c>
      <c r="H9" s="676">
        <v>1</v>
      </c>
      <c r="I9" s="668" t="s">
        <v>764</v>
      </c>
      <c r="J9" s="676" t="s">
        <v>765</v>
      </c>
      <c r="K9" s="677">
        <v>46081</v>
      </c>
      <c r="L9" s="668" t="s">
        <v>766</v>
      </c>
      <c r="M9" s="668" t="s">
        <v>761</v>
      </c>
      <c r="N9" s="676" t="s">
        <v>767</v>
      </c>
      <c r="O9" s="678" t="s">
        <v>768</v>
      </c>
      <c r="P9" s="679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412"/>
      <c r="C10" s="635"/>
      <c r="D10" s="635"/>
      <c r="E10" s="635"/>
      <c r="F10" s="635"/>
      <c r="G10" s="635"/>
      <c r="H10" s="635"/>
      <c r="I10" s="635"/>
      <c r="J10" s="635"/>
      <c r="K10" s="635"/>
      <c r="L10" s="635"/>
      <c r="M10" s="635"/>
      <c r="N10" s="635"/>
      <c r="O10" s="539"/>
      <c r="P10" s="500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412"/>
      <c r="C11" s="635"/>
      <c r="D11" s="635"/>
      <c r="E11" s="635"/>
      <c r="F11" s="635"/>
      <c r="G11" s="635"/>
      <c r="H11" s="635"/>
      <c r="I11" s="635"/>
      <c r="J11" s="635"/>
      <c r="K11" s="635"/>
      <c r="L11" s="635"/>
      <c r="M11" s="635"/>
      <c r="N11" s="635"/>
      <c r="O11" s="539"/>
      <c r="P11" s="500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412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5"/>
      <c r="N12" s="635"/>
      <c r="O12" s="539"/>
      <c r="P12" s="50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412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636"/>
      <c r="O13" s="663"/>
      <c r="P13" s="50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406"/>
      <c r="C14" s="668" t="s">
        <v>769</v>
      </c>
      <c r="D14" s="668" t="s">
        <v>60</v>
      </c>
      <c r="E14" s="668" t="s">
        <v>556</v>
      </c>
      <c r="F14" s="668" t="s">
        <v>170</v>
      </c>
      <c r="G14" s="669">
        <v>0.1</v>
      </c>
      <c r="H14" s="668">
        <v>1</v>
      </c>
      <c r="I14" s="668" t="s">
        <v>764</v>
      </c>
      <c r="J14" s="676" t="s">
        <v>770</v>
      </c>
      <c r="K14" s="677">
        <v>46081</v>
      </c>
      <c r="L14" s="676" t="s">
        <v>771</v>
      </c>
      <c r="M14" s="676" t="s">
        <v>771</v>
      </c>
      <c r="N14" s="676" t="s">
        <v>772</v>
      </c>
      <c r="O14" s="406"/>
      <c r="P14" s="40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406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5"/>
      <c r="N15" s="635"/>
      <c r="O15" s="406"/>
      <c r="P15" s="405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405"/>
      <c r="C16" s="636"/>
      <c r="D16" s="636"/>
      <c r="E16" s="636"/>
      <c r="F16" s="636"/>
      <c r="G16" s="636"/>
      <c r="H16" s="636"/>
      <c r="I16" s="636"/>
      <c r="J16" s="636"/>
      <c r="K16" s="636"/>
      <c r="L16" s="636"/>
      <c r="M16" s="636"/>
      <c r="N16" s="636"/>
      <c r="O16" s="405"/>
      <c r="P16" s="405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405"/>
      <c r="C17" s="413" t="s">
        <v>773</v>
      </c>
      <c r="D17" s="414" t="s">
        <v>60</v>
      </c>
      <c r="E17" s="414" t="s">
        <v>556</v>
      </c>
      <c r="F17" s="414" t="s">
        <v>170</v>
      </c>
      <c r="G17" s="415">
        <v>0.1</v>
      </c>
      <c r="H17" s="414">
        <v>1</v>
      </c>
      <c r="I17" s="414" t="s">
        <v>764</v>
      </c>
      <c r="J17" s="410" t="s">
        <v>770</v>
      </c>
      <c r="K17" s="411">
        <v>46081</v>
      </c>
      <c r="L17" s="414" t="s">
        <v>771</v>
      </c>
      <c r="M17" s="414" t="s">
        <v>774</v>
      </c>
      <c r="N17" s="410" t="s">
        <v>775</v>
      </c>
      <c r="O17" s="405"/>
      <c r="P17" s="405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405"/>
      <c r="C18" s="668" t="s">
        <v>776</v>
      </c>
      <c r="D18" s="668" t="s">
        <v>60</v>
      </c>
      <c r="E18" s="668" t="s">
        <v>556</v>
      </c>
      <c r="F18" s="668" t="s">
        <v>170</v>
      </c>
      <c r="G18" s="669">
        <v>0.1</v>
      </c>
      <c r="H18" s="668">
        <v>1</v>
      </c>
      <c r="I18" s="668" t="s">
        <v>764</v>
      </c>
      <c r="J18" s="676" t="s">
        <v>770</v>
      </c>
      <c r="K18" s="677">
        <v>46081</v>
      </c>
      <c r="L18" s="676" t="s">
        <v>777</v>
      </c>
      <c r="M18" s="676" t="s">
        <v>778</v>
      </c>
      <c r="N18" s="682">
        <v>0.1</v>
      </c>
      <c r="O18" s="405"/>
      <c r="P18" s="405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405"/>
      <c r="C19" s="635"/>
      <c r="D19" s="635"/>
      <c r="E19" s="635"/>
      <c r="F19" s="635"/>
      <c r="G19" s="635"/>
      <c r="H19" s="635"/>
      <c r="I19" s="635"/>
      <c r="J19" s="635"/>
      <c r="K19" s="635"/>
      <c r="L19" s="635"/>
      <c r="M19" s="635"/>
      <c r="N19" s="635"/>
      <c r="O19" s="405"/>
      <c r="P19" s="405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405"/>
      <c r="C20" s="635"/>
      <c r="D20" s="635"/>
      <c r="E20" s="635"/>
      <c r="F20" s="635"/>
      <c r="G20" s="635"/>
      <c r="H20" s="635"/>
      <c r="I20" s="635"/>
      <c r="J20" s="635"/>
      <c r="K20" s="635"/>
      <c r="L20" s="635"/>
      <c r="M20" s="635"/>
      <c r="N20" s="635"/>
      <c r="O20" s="405"/>
      <c r="P20" s="405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405"/>
      <c r="C21" s="636"/>
      <c r="D21" s="636"/>
      <c r="E21" s="636"/>
      <c r="F21" s="636"/>
      <c r="G21" s="636"/>
      <c r="H21" s="636"/>
      <c r="I21" s="636"/>
      <c r="J21" s="636"/>
      <c r="K21" s="636"/>
      <c r="L21" s="636"/>
      <c r="M21" s="636"/>
      <c r="N21" s="636"/>
      <c r="O21" s="405"/>
      <c r="P21" s="405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405"/>
      <c r="C22" s="670" t="s">
        <v>779</v>
      </c>
      <c r="D22" s="670" t="s">
        <v>780</v>
      </c>
      <c r="E22" s="670" t="s">
        <v>781</v>
      </c>
      <c r="F22" s="670" t="s">
        <v>170</v>
      </c>
      <c r="G22" s="671">
        <v>0.15</v>
      </c>
      <c r="H22" s="672">
        <v>3</v>
      </c>
      <c r="I22" s="670" t="s">
        <v>782</v>
      </c>
      <c r="J22" s="672" t="s">
        <v>760</v>
      </c>
      <c r="K22" s="673">
        <v>46173</v>
      </c>
      <c r="L22" s="672" t="s">
        <v>783</v>
      </c>
      <c r="M22" s="672" t="s">
        <v>771</v>
      </c>
      <c r="N22" s="674">
        <v>0.1</v>
      </c>
      <c r="O22" s="405"/>
      <c r="P22" s="405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405"/>
      <c r="C23" s="635"/>
      <c r="D23" s="635"/>
      <c r="E23" s="635"/>
      <c r="F23" s="635"/>
      <c r="G23" s="635"/>
      <c r="H23" s="635"/>
      <c r="I23" s="635"/>
      <c r="J23" s="635"/>
      <c r="K23" s="635"/>
      <c r="L23" s="635"/>
      <c r="M23" s="635"/>
      <c r="N23" s="635"/>
      <c r="O23" s="405"/>
      <c r="P23" s="405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40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405"/>
      <c r="P24" s="405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405"/>
      <c r="C25" s="636"/>
      <c r="D25" s="636"/>
      <c r="E25" s="636"/>
      <c r="F25" s="636"/>
      <c r="G25" s="636"/>
      <c r="H25" s="636"/>
      <c r="I25" s="636"/>
      <c r="J25" s="636"/>
      <c r="K25" s="636"/>
      <c r="L25" s="636"/>
      <c r="M25" s="636"/>
      <c r="N25" s="636"/>
      <c r="O25" s="405"/>
      <c r="P25" s="405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405"/>
      <c r="C26" s="670" t="s">
        <v>784</v>
      </c>
      <c r="D26" s="670" t="s">
        <v>780</v>
      </c>
      <c r="E26" s="670" t="s">
        <v>781</v>
      </c>
      <c r="F26" s="670" t="s">
        <v>170</v>
      </c>
      <c r="G26" s="671">
        <v>0.15</v>
      </c>
      <c r="H26" s="672">
        <v>11</v>
      </c>
      <c r="I26" s="670" t="s">
        <v>782</v>
      </c>
      <c r="J26" s="672" t="s">
        <v>760</v>
      </c>
      <c r="K26" s="673">
        <v>46415</v>
      </c>
      <c r="L26" s="672" t="s">
        <v>771</v>
      </c>
      <c r="M26" s="672" t="s">
        <v>771</v>
      </c>
      <c r="N26" s="674">
        <v>0.05</v>
      </c>
      <c r="O26" s="683" t="s">
        <v>785</v>
      </c>
      <c r="P26" s="679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405"/>
      <c r="C27" s="636"/>
      <c r="D27" s="636"/>
      <c r="E27" s="636"/>
      <c r="F27" s="636"/>
      <c r="G27" s="636"/>
      <c r="H27" s="636"/>
      <c r="I27" s="636"/>
      <c r="J27" s="636"/>
      <c r="K27" s="636"/>
      <c r="L27" s="636"/>
      <c r="M27" s="636"/>
      <c r="N27" s="636"/>
      <c r="O27" s="665"/>
      <c r="P27" s="503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405"/>
      <c r="C28" s="675" t="s">
        <v>786</v>
      </c>
      <c r="D28" s="625"/>
      <c r="E28" s="625"/>
      <c r="F28" s="625"/>
      <c r="G28" s="625"/>
      <c r="H28" s="625"/>
      <c r="I28" s="625"/>
      <c r="J28" s="625"/>
      <c r="K28" s="625"/>
      <c r="L28" s="625"/>
      <c r="M28" s="625"/>
      <c r="N28" s="626"/>
      <c r="O28" s="416"/>
      <c r="P28" s="40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405"/>
      <c r="C29" s="405"/>
      <c r="D29" s="405"/>
      <c r="E29" s="405"/>
      <c r="F29" s="405"/>
      <c r="G29" s="405"/>
      <c r="H29" s="405"/>
      <c r="I29" s="405"/>
      <c r="J29" s="405"/>
      <c r="K29" s="405"/>
      <c r="L29" s="405"/>
      <c r="M29" s="405"/>
      <c r="N29" s="405"/>
      <c r="O29" s="405"/>
      <c r="P29" s="405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405"/>
      <c r="C30" s="405"/>
      <c r="D30" s="405"/>
      <c r="E30" s="405"/>
      <c r="F30" s="405"/>
      <c r="G30" s="405"/>
      <c r="H30" s="405"/>
      <c r="I30" s="405"/>
      <c r="J30" s="405"/>
      <c r="K30" s="405"/>
      <c r="L30" s="405"/>
      <c r="M30" s="405"/>
      <c r="N30" s="405"/>
      <c r="O30" s="405"/>
      <c r="P30" s="405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405"/>
      <c r="C31" s="405"/>
      <c r="D31" s="405"/>
      <c r="E31" s="405"/>
      <c r="F31" s="405"/>
      <c r="G31" s="405"/>
      <c r="H31" s="405"/>
      <c r="I31" s="405"/>
      <c r="J31" s="405"/>
      <c r="K31" s="405"/>
      <c r="L31" s="405"/>
      <c r="M31" s="405"/>
      <c r="N31" s="405"/>
      <c r="O31" s="405"/>
      <c r="P31" s="405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405"/>
      <c r="C32" s="405"/>
      <c r="D32" s="405"/>
      <c r="E32" s="405"/>
      <c r="F32" s="405"/>
      <c r="G32" s="405"/>
      <c r="H32" s="405"/>
      <c r="I32" s="405"/>
      <c r="J32" s="405"/>
      <c r="K32" s="405"/>
      <c r="L32" s="405"/>
      <c r="M32" s="405"/>
      <c r="N32" s="405"/>
      <c r="O32" s="405"/>
      <c r="P32" s="405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405"/>
      <c r="C33" s="405"/>
      <c r="D33" s="405"/>
      <c r="E33" s="405"/>
      <c r="F33" s="405"/>
      <c r="G33" s="405"/>
      <c r="H33" s="405"/>
      <c r="I33" s="405"/>
      <c r="J33" s="405"/>
      <c r="K33" s="405"/>
      <c r="L33" s="405"/>
      <c r="M33" s="405"/>
      <c r="N33" s="405"/>
      <c r="O33" s="405"/>
      <c r="P33" s="405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405"/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405"/>
      <c r="N34" s="405"/>
      <c r="O34" s="405"/>
      <c r="P34" s="405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405"/>
      <c r="C35" s="405"/>
      <c r="D35" s="405"/>
      <c r="E35" s="405"/>
      <c r="F35" s="405"/>
      <c r="G35" s="405"/>
      <c r="H35" s="405"/>
      <c r="I35" s="405"/>
      <c r="J35" s="405"/>
      <c r="K35" s="405"/>
      <c r="L35" s="405"/>
      <c r="M35" s="405"/>
      <c r="N35" s="405"/>
      <c r="O35" s="405"/>
      <c r="P35" s="405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405"/>
      <c r="C36" s="405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  <c r="P36" s="405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405"/>
      <c r="C37" s="405"/>
      <c r="D37" s="405"/>
      <c r="E37" s="405"/>
      <c r="F37" s="405"/>
      <c r="G37" s="405"/>
      <c r="H37" s="405"/>
      <c r="I37" s="405"/>
      <c r="J37" s="405"/>
      <c r="K37" s="405"/>
      <c r="L37" s="405"/>
      <c r="M37" s="405"/>
      <c r="N37" s="405"/>
      <c r="O37" s="405"/>
      <c r="P37" s="405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405"/>
      <c r="C38" s="405"/>
      <c r="D38" s="405"/>
      <c r="E38" s="405"/>
      <c r="F38" s="405"/>
      <c r="G38" s="405"/>
      <c r="H38" s="405"/>
      <c r="I38" s="405"/>
      <c r="J38" s="405"/>
      <c r="K38" s="405"/>
      <c r="L38" s="405"/>
      <c r="M38" s="405"/>
      <c r="N38" s="405"/>
      <c r="O38" s="405"/>
      <c r="P38" s="405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405"/>
      <c r="C39" s="405"/>
      <c r="D39" s="405"/>
      <c r="E39" s="405"/>
      <c r="F39" s="405"/>
      <c r="G39" s="405"/>
      <c r="H39" s="405"/>
      <c r="I39" s="405"/>
      <c r="J39" s="405"/>
      <c r="K39" s="405"/>
      <c r="L39" s="405"/>
      <c r="M39" s="405"/>
      <c r="N39" s="405"/>
      <c r="O39" s="405"/>
      <c r="P39" s="405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405"/>
      <c r="C40" s="405"/>
      <c r="D40" s="405"/>
      <c r="E40" s="405"/>
      <c r="F40" s="405"/>
      <c r="G40" s="405"/>
      <c r="H40" s="405"/>
      <c r="I40" s="405"/>
      <c r="J40" s="405"/>
      <c r="K40" s="405"/>
      <c r="L40" s="405"/>
      <c r="M40" s="405"/>
      <c r="N40" s="405"/>
      <c r="O40" s="405"/>
      <c r="P40" s="405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405"/>
      <c r="C41" s="405"/>
      <c r="D41" s="405"/>
      <c r="E41" s="405"/>
      <c r="F41" s="405"/>
      <c r="G41" s="405"/>
      <c r="H41" s="405"/>
      <c r="I41" s="405"/>
      <c r="J41" s="405"/>
      <c r="K41" s="405"/>
      <c r="L41" s="405"/>
      <c r="M41" s="405"/>
      <c r="N41" s="405"/>
      <c r="O41" s="405"/>
      <c r="P41" s="405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405"/>
      <c r="C42" s="405"/>
      <c r="D42" s="405"/>
      <c r="E42" s="405"/>
      <c r="F42" s="405"/>
      <c r="G42" s="405"/>
      <c r="H42" s="405"/>
      <c r="I42" s="405"/>
      <c r="J42" s="405"/>
      <c r="K42" s="405"/>
      <c r="L42" s="405"/>
      <c r="M42" s="405"/>
      <c r="N42" s="405"/>
      <c r="O42" s="405"/>
      <c r="P42" s="405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405"/>
      <c r="C43" s="405"/>
      <c r="D43" s="405"/>
      <c r="E43" s="405"/>
      <c r="F43" s="405"/>
      <c r="G43" s="405"/>
      <c r="H43" s="405"/>
      <c r="I43" s="405"/>
      <c r="J43" s="405"/>
      <c r="K43" s="405"/>
      <c r="L43" s="405"/>
      <c r="M43" s="405"/>
      <c r="N43" s="405"/>
      <c r="O43" s="405"/>
      <c r="P43" s="405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405"/>
      <c r="C44" s="405"/>
      <c r="D44" s="405"/>
      <c r="E44" s="405"/>
      <c r="F44" s="405"/>
      <c r="G44" s="405"/>
      <c r="H44" s="405"/>
      <c r="I44" s="405"/>
      <c r="J44" s="405"/>
      <c r="K44" s="405"/>
      <c r="L44" s="405"/>
      <c r="M44" s="405"/>
      <c r="N44" s="405"/>
      <c r="O44" s="405"/>
      <c r="P44" s="405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405"/>
      <c r="C45" s="405"/>
      <c r="D45" s="405"/>
      <c r="E45" s="405"/>
      <c r="F45" s="405"/>
      <c r="G45" s="405"/>
      <c r="H45" s="405"/>
      <c r="I45" s="405"/>
      <c r="J45" s="405"/>
      <c r="K45" s="405"/>
      <c r="L45" s="405"/>
      <c r="M45" s="405"/>
      <c r="N45" s="405"/>
      <c r="O45" s="405"/>
      <c r="P45" s="405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405"/>
      <c r="C46" s="405"/>
      <c r="D46" s="405"/>
      <c r="E46" s="405"/>
      <c r="F46" s="405"/>
      <c r="G46" s="405"/>
      <c r="H46" s="405"/>
      <c r="I46" s="405"/>
      <c r="J46" s="405"/>
      <c r="K46" s="405"/>
      <c r="L46" s="405"/>
      <c r="M46" s="405"/>
      <c r="N46" s="405"/>
      <c r="O46" s="405"/>
      <c r="P46" s="405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405"/>
      <c r="C47" s="405"/>
      <c r="D47" s="405"/>
      <c r="E47" s="405"/>
      <c r="F47" s="405"/>
      <c r="G47" s="405"/>
      <c r="H47" s="405"/>
      <c r="I47" s="405"/>
      <c r="J47" s="405"/>
      <c r="K47" s="405"/>
      <c r="L47" s="405"/>
      <c r="M47" s="405"/>
      <c r="N47" s="405"/>
      <c r="O47" s="405"/>
      <c r="P47" s="405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405"/>
      <c r="C48" s="405"/>
      <c r="D48" s="405"/>
      <c r="E48" s="405"/>
      <c r="F48" s="405"/>
      <c r="G48" s="405"/>
      <c r="H48" s="405"/>
      <c r="I48" s="405"/>
      <c r="J48" s="405"/>
      <c r="K48" s="405"/>
      <c r="L48" s="405"/>
      <c r="M48" s="405"/>
      <c r="N48" s="405"/>
      <c r="O48" s="405"/>
      <c r="P48" s="405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405"/>
      <c r="C49" s="405"/>
      <c r="D49" s="405"/>
      <c r="E49" s="405"/>
      <c r="F49" s="405"/>
      <c r="G49" s="405"/>
      <c r="H49" s="405"/>
      <c r="I49" s="405"/>
      <c r="J49" s="405"/>
      <c r="K49" s="405"/>
      <c r="L49" s="405"/>
      <c r="M49" s="405"/>
      <c r="N49" s="405"/>
      <c r="O49" s="405"/>
      <c r="P49" s="40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405"/>
      <c r="C50" s="405"/>
      <c r="D50" s="405"/>
      <c r="E50" s="405"/>
      <c r="F50" s="405"/>
      <c r="G50" s="405"/>
      <c r="H50" s="405"/>
      <c r="I50" s="405"/>
      <c r="J50" s="405"/>
      <c r="K50" s="405"/>
      <c r="L50" s="405"/>
      <c r="M50" s="405"/>
      <c r="N50" s="405"/>
      <c r="O50" s="405"/>
      <c r="P50" s="405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405"/>
      <c r="C51" s="405"/>
      <c r="D51" s="405"/>
      <c r="E51" s="405"/>
      <c r="F51" s="405"/>
      <c r="G51" s="405"/>
      <c r="H51" s="405"/>
      <c r="I51" s="405"/>
      <c r="J51" s="405"/>
      <c r="K51" s="405"/>
      <c r="L51" s="405"/>
      <c r="M51" s="405"/>
      <c r="N51" s="405"/>
      <c r="O51" s="405"/>
      <c r="P51" s="405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405"/>
      <c r="C52" s="405"/>
      <c r="D52" s="405"/>
      <c r="E52" s="405"/>
      <c r="F52" s="405"/>
      <c r="G52" s="405"/>
      <c r="H52" s="405"/>
      <c r="I52" s="405"/>
      <c r="J52" s="405"/>
      <c r="K52" s="405"/>
      <c r="L52" s="405"/>
      <c r="M52" s="405"/>
      <c r="N52" s="405"/>
      <c r="O52" s="405"/>
      <c r="P52" s="405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405"/>
      <c r="C53" s="405"/>
      <c r="D53" s="405"/>
      <c r="E53" s="405"/>
      <c r="F53" s="405"/>
      <c r="G53" s="405"/>
      <c r="H53" s="405"/>
      <c r="I53" s="405"/>
      <c r="J53" s="405"/>
      <c r="K53" s="405"/>
      <c r="L53" s="405"/>
      <c r="M53" s="405"/>
      <c r="N53" s="405"/>
      <c r="O53" s="405"/>
      <c r="P53" s="40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405"/>
      <c r="C54" s="405"/>
      <c r="D54" s="405"/>
      <c r="E54" s="405"/>
      <c r="F54" s="405"/>
      <c r="G54" s="405"/>
      <c r="H54" s="405"/>
      <c r="I54" s="405"/>
      <c r="J54" s="405"/>
      <c r="K54" s="405"/>
      <c r="L54" s="405"/>
      <c r="M54" s="405"/>
      <c r="N54" s="405"/>
      <c r="O54" s="405"/>
      <c r="P54" s="405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405"/>
      <c r="C55" s="405"/>
      <c r="D55" s="405"/>
      <c r="E55" s="405"/>
      <c r="F55" s="405"/>
      <c r="G55" s="405"/>
      <c r="H55" s="405"/>
      <c r="I55" s="405"/>
      <c r="J55" s="405"/>
      <c r="K55" s="405"/>
      <c r="L55" s="405"/>
      <c r="M55" s="405"/>
      <c r="N55" s="405"/>
      <c r="O55" s="405"/>
      <c r="P55" s="405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405"/>
      <c r="C56" s="405"/>
      <c r="D56" s="405"/>
      <c r="E56" s="405"/>
      <c r="F56" s="405"/>
      <c r="G56" s="405"/>
      <c r="H56" s="405"/>
      <c r="I56" s="405"/>
      <c r="J56" s="405"/>
      <c r="K56" s="405"/>
      <c r="L56" s="405"/>
      <c r="M56" s="405"/>
      <c r="N56" s="405"/>
      <c r="O56" s="405"/>
      <c r="P56" s="405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405"/>
      <c r="C57" s="405"/>
      <c r="D57" s="405"/>
      <c r="E57" s="405"/>
      <c r="F57" s="405"/>
      <c r="G57" s="405"/>
      <c r="H57" s="405"/>
      <c r="I57" s="405"/>
      <c r="J57" s="405"/>
      <c r="K57" s="405"/>
      <c r="L57" s="405"/>
      <c r="M57" s="405"/>
      <c r="N57" s="405"/>
      <c r="O57" s="405"/>
      <c r="P57" s="405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405"/>
      <c r="C58" s="405"/>
      <c r="D58" s="405"/>
      <c r="E58" s="405"/>
      <c r="F58" s="405"/>
      <c r="G58" s="405"/>
      <c r="H58" s="405"/>
      <c r="I58" s="405"/>
      <c r="J58" s="405"/>
      <c r="K58" s="405"/>
      <c r="L58" s="405"/>
      <c r="M58" s="405"/>
      <c r="N58" s="405"/>
      <c r="O58" s="405"/>
      <c r="P58" s="405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405"/>
      <c r="C59" s="405"/>
      <c r="D59" s="405"/>
      <c r="E59" s="405"/>
      <c r="F59" s="405"/>
      <c r="G59" s="405"/>
      <c r="H59" s="405"/>
      <c r="I59" s="405"/>
      <c r="J59" s="405"/>
      <c r="K59" s="405"/>
      <c r="L59" s="405"/>
      <c r="M59" s="405"/>
      <c r="N59" s="405"/>
      <c r="O59" s="405"/>
      <c r="P59" s="405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405"/>
      <c r="C60" s="405"/>
      <c r="D60" s="405"/>
      <c r="E60" s="405"/>
      <c r="F60" s="405"/>
      <c r="G60" s="405"/>
      <c r="H60" s="405"/>
      <c r="I60" s="405"/>
      <c r="J60" s="405"/>
      <c r="K60" s="405"/>
      <c r="L60" s="405"/>
      <c r="M60" s="405"/>
      <c r="N60" s="405"/>
      <c r="O60" s="405"/>
      <c r="P60" s="40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405"/>
      <c r="C61" s="405"/>
      <c r="D61" s="405"/>
      <c r="E61" s="405"/>
      <c r="F61" s="405"/>
      <c r="G61" s="405"/>
      <c r="H61" s="405"/>
      <c r="I61" s="405"/>
      <c r="J61" s="405"/>
      <c r="K61" s="405"/>
      <c r="L61" s="405"/>
      <c r="M61" s="405"/>
      <c r="N61" s="405"/>
      <c r="O61" s="405"/>
      <c r="P61" s="405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405"/>
      <c r="C62" s="405"/>
      <c r="D62" s="405"/>
      <c r="E62" s="405"/>
      <c r="F62" s="405"/>
      <c r="G62" s="405"/>
      <c r="H62" s="405"/>
      <c r="I62" s="405"/>
      <c r="J62" s="405"/>
      <c r="K62" s="405"/>
      <c r="L62" s="405"/>
      <c r="M62" s="405"/>
      <c r="N62" s="405"/>
      <c r="O62" s="405"/>
      <c r="P62" s="405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405"/>
      <c r="C63" s="405"/>
      <c r="D63" s="405"/>
      <c r="E63" s="405"/>
      <c r="F63" s="405"/>
      <c r="G63" s="405"/>
      <c r="H63" s="405"/>
      <c r="I63" s="405"/>
      <c r="J63" s="405"/>
      <c r="K63" s="405"/>
      <c r="L63" s="405"/>
      <c r="M63" s="405"/>
      <c r="N63" s="405"/>
      <c r="O63" s="405"/>
      <c r="P63" s="405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405"/>
      <c r="C64" s="405"/>
      <c r="D64" s="405"/>
      <c r="E64" s="405"/>
      <c r="F64" s="405"/>
      <c r="G64" s="405"/>
      <c r="H64" s="405"/>
      <c r="I64" s="405"/>
      <c r="J64" s="405"/>
      <c r="K64" s="405"/>
      <c r="L64" s="405"/>
      <c r="M64" s="405"/>
      <c r="N64" s="405"/>
      <c r="O64" s="405"/>
      <c r="P64" s="40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405"/>
      <c r="C65" s="405"/>
      <c r="D65" s="405"/>
      <c r="E65" s="405"/>
      <c r="F65" s="405"/>
      <c r="G65" s="405"/>
      <c r="H65" s="405"/>
      <c r="I65" s="405"/>
      <c r="J65" s="405"/>
      <c r="K65" s="405"/>
      <c r="L65" s="405"/>
      <c r="M65" s="405"/>
      <c r="N65" s="405"/>
      <c r="O65" s="405"/>
      <c r="P65" s="405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405"/>
      <c r="C66" s="405"/>
      <c r="D66" s="405"/>
      <c r="E66" s="405"/>
      <c r="F66" s="405"/>
      <c r="G66" s="405"/>
      <c r="H66" s="405"/>
      <c r="I66" s="405"/>
      <c r="J66" s="405"/>
      <c r="K66" s="405"/>
      <c r="L66" s="405"/>
      <c r="M66" s="405"/>
      <c r="N66" s="405"/>
      <c r="O66" s="405"/>
      <c r="P66" s="405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405"/>
      <c r="C67" s="405"/>
      <c r="D67" s="405"/>
      <c r="E67" s="405"/>
      <c r="F67" s="405"/>
      <c r="G67" s="405"/>
      <c r="H67" s="405"/>
      <c r="I67" s="405"/>
      <c r="J67" s="405"/>
      <c r="K67" s="405"/>
      <c r="L67" s="405"/>
      <c r="M67" s="405"/>
      <c r="N67" s="405"/>
      <c r="O67" s="405"/>
      <c r="P67" s="405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405"/>
      <c r="C68" s="405"/>
      <c r="D68" s="405"/>
      <c r="E68" s="405"/>
      <c r="F68" s="405"/>
      <c r="G68" s="405"/>
      <c r="H68" s="405"/>
      <c r="I68" s="405"/>
      <c r="J68" s="405"/>
      <c r="K68" s="405"/>
      <c r="L68" s="405"/>
      <c r="M68" s="405"/>
      <c r="N68" s="405"/>
      <c r="O68" s="405"/>
      <c r="P68" s="405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405"/>
      <c r="C69" s="405"/>
      <c r="D69" s="405"/>
      <c r="E69" s="405"/>
      <c r="F69" s="405"/>
      <c r="G69" s="405"/>
      <c r="H69" s="405"/>
      <c r="I69" s="405"/>
      <c r="J69" s="405"/>
      <c r="K69" s="405"/>
      <c r="L69" s="405"/>
      <c r="M69" s="405"/>
      <c r="N69" s="405"/>
      <c r="O69" s="405"/>
      <c r="P69" s="405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405"/>
      <c r="C70" s="405"/>
      <c r="D70" s="405"/>
      <c r="E70" s="405"/>
      <c r="F70" s="405"/>
      <c r="G70" s="405"/>
      <c r="H70" s="405"/>
      <c r="I70" s="405"/>
      <c r="J70" s="405"/>
      <c r="K70" s="405"/>
      <c r="L70" s="405"/>
      <c r="M70" s="405"/>
      <c r="N70" s="405"/>
      <c r="O70" s="405"/>
      <c r="P70" s="405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405"/>
      <c r="C71" s="405"/>
      <c r="D71" s="405"/>
      <c r="E71" s="405"/>
      <c r="F71" s="405"/>
      <c r="G71" s="405"/>
      <c r="H71" s="405"/>
      <c r="I71" s="405"/>
      <c r="J71" s="405"/>
      <c r="K71" s="405"/>
      <c r="L71" s="405"/>
      <c r="M71" s="405"/>
      <c r="N71" s="405"/>
      <c r="O71" s="405"/>
      <c r="P71" s="405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405"/>
      <c r="C72" s="405"/>
      <c r="D72" s="405"/>
      <c r="E72" s="405"/>
      <c r="F72" s="405"/>
      <c r="G72" s="405"/>
      <c r="H72" s="405"/>
      <c r="I72" s="405"/>
      <c r="J72" s="405"/>
      <c r="K72" s="405"/>
      <c r="L72" s="405"/>
      <c r="M72" s="405"/>
      <c r="N72" s="405"/>
      <c r="O72" s="405"/>
      <c r="P72" s="405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405"/>
      <c r="C73" s="405"/>
      <c r="D73" s="405"/>
      <c r="E73" s="405"/>
      <c r="F73" s="405"/>
      <c r="G73" s="405"/>
      <c r="H73" s="405"/>
      <c r="I73" s="405"/>
      <c r="J73" s="405"/>
      <c r="K73" s="405"/>
      <c r="L73" s="405"/>
      <c r="M73" s="405"/>
      <c r="N73" s="405"/>
      <c r="O73" s="405"/>
      <c r="P73" s="405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405"/>
      <c r="C74" s="405"/>
      <c r="D74" s="405"/>
      <c r="E74" s="405"/>
      <c r="F74" s="405"/>
      <c r="G74" s="405"/>
      <c r="H74" s="405"/>
      <c r="I74" s="405"/>
      <c r="J74" s="405"/>
      <c r="K74" s="405"/>
      <c r="L74" s="405"/>
      <c r="M74" s="405"/>
      <c r="N74" s="405"/>
      <c r="O74" s="405"/>
      <c r="P74" s="405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405"/>
      <c r="C75" s="405"/>
      <c r="D75" s="405"/>
      <c r="E75" s="405"/>
      <c r="F75" s="405"/>
      <c r="G75" s="405"/>
      <c r="H75" s="405"/>
      <c r="I75" s="405"/>
      <c r="J75" s="405"/>
      <c r="K75" s="405"/>
      <c r="L75" s="405"/>
      <c r="M75" s="405"/>
      <c r="N75" s="405"/>
      <c r="O75" s="405"/>
      <c r="P75" s="405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405"/>
      <c r="C76" s="405"/>
      <c r="D76" s="405"/>
      <c r="E76" s="405"/>
      <c r="F76" s="405"/>
      <c r="G76" s="405"/>
      <c r="H76" s="405"/>
      <c r="I76" s="405"/>
      <c r="J76" s="405"/>
      <c r="K76" s="405"/>
      <c r="L76" s="405"/>
      <c r="M76" s="405"/>
      <c r="N76" s="405"/>
      <c r="O76" s="405"/>
      <c r="P76" s="405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405"/>
      <c r="C77" s="405"/>
      <c r="D77" s="405"/>
      <c r="E77" s="405"/>
      <c r="F77" s="405"/>
      <c r="G77" s="405"/>
      <c r="H77" s="405"/>
      <c r="I77" s="405"/>
      <c r="J77" s="405"/>
      <c r="K77" s="405"/>
      <c r="L77" s="405"/>
      <c r="M77" s="405"/>
      <c r="N77" s="405"/>
      <c r="O77" s="405"/>
      <c r="P77" s="405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405"/>
      <c r="C78" s="405"/>
      <c r="D78" s="405"/>
      <c r="E78" s="405"/>
      <c r="F78" s="405"/>
      <c r="G78" s="405"/>
      <c r="H78" s="405"/>
      <c r="I78" s="405"/>
      <c r="J78" s="405"/>
      <c r="K78" s="405"/>
      <c r="L78" s="405"/>
      <c r="M78" s="405"/>
      <c r="N78" s="405"/>
      <c r="O78" s="405"/>
      <c r="P78" s="405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405"/>
      <c r="C79" s="405"/>
      <c r="D79" s="405"/>
      <c r="E79" s="405"/>
      <c r="F79" s="405"/>
      <c r="G79" s="405"/>
      <c r="H79" s="405"/>
      <c r="I79" s="405"/>
      <c r="J79" s="405"/>
      <c r="K79" s="405"/>
      <c r="L79" s="405"/>
      <c r="M79" s="405"/>
      <c r="N79" s="405"/>
      <c r="O79" s="405"/>
      <c r="P79" s="405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405"/>
      <c r="C80" s="405"/>
      <c r="D80" s="405"/>
      <c r="E80" s="405"/>
      <c r="F80" s="405"/>
      <c r="G80" s="405"/>
      <c r="H80" s="405"/>
      <c r="I80" s="405"/>
      <c r="J80" s="405"/>
      <c r="K80" s="405"/>
      <c r="L80" s="405"/>
      <c r="M80" s="405"/>
      <c r="N80" s="405"/>
      <c r="O80" s="405"/>
      <c r="P80" s="405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405"/>
      <c r="C81" s="405"/>
      <c r="D81" s="405"/>
      <c r="E81" s="405"/>
      <c r="F81" s="405"/>
      <c r="G81" s="405"/>
      <c r="H81" s="405"/>
      <c r="I81" s="405"/>
      <c r="J81" s="405"/>
      <c r="K81" s="405"/>
      <c r="L81" s="405"/>
      <c r="M81" s="405"/>
      <c r="N81" s="405"/>
      <c r="O81" s="405"/>
      <c r="P81" s="405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405"/>
      <c r="C82" s="405"/>
      <c r="D82" s="405"/>
      <c r="E82" s="405"/>
      <c r="F82" s="405"/>
      <c r="G82" s="405"/>
      <c r="H82" s="405"/>
      <c r="I82" s="405"/>
      <c r="J82" s="405"/>
      <c r="K82" s="405"/>
      <c r="L82" s="405"/>
      <c r="M82" s="405"/>
      <c r="N82" s="405"/>
      <c r="O82" s="405"/>
      <c r="P82" s="405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405"/>
      <c r="C83" s="405"/>
      <c r="D83" s="405"/>
      <c r="E83" s="405"/>
      <c r="F83" s="405"/>
      <c r="G83" s="405"/>
      <c r="H83" s="405"/>
      <c r="I83" s="405"/>
      <c r="J83" s="405"/>
      <c r="K83" s="405"/>
      <c r="L83" s="405"/>
      <c r="M83" s="405"/>
      <c r="N83" s="405"/>
      <c r="O83" s="405"/>
      <c r="P83" s="405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405"/>
      <c r="C84" s="405"/>
      <c r="D84" s="405"/>
      <c r="E84" s="405"/>
      <c r="F84" s="405"/>
      <c r="G84" s="405"/>
      <c r="H84" s="405"/>
      <c r="I84" s="405"/>
      <c r="J84" s="405"/>
      <c r="K84" s="405"/>
      <c r="L84" s="405"/>
      <c r="M84" s="405"/>
      <c r="N84" s="405"/>
      <c r="O84" s="405"/>
      <c r="P84" s="405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405"/>
      <c r="C85" s="405"/>
      <c r="D85" s="405"/>
      <c r="E85" s="405"/>
      <c r="F85" s="405"/>
      <c r="G85" s="405"/>
      <c r="H85" s="405"/>
      <c r="I85" s="405"/>
      <c r="J85" s="405"/>
      <c r="K85" s="405"/>
      <c r="L85" s="405"/>
      <c r="M85" s="405"/>
      <c r="N85" s="405"/>
      <c r="O85" s="405"/>
      <c r="P85" s="405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405"/>
      <c r="C86" s="405"/>
      <c r="D86" s="405"/>
      <c r="E86" s="405"/>
      <c r="F86" s="405"/>
      <c r="G86" s="405"/>
      <c r="H86" s="405"/>
      <c r="I86" s="405"/>
      <c r="J86" s="405"/>
      <c r="K86" s="405"/>
      <c r="L86" s="405"/>
      <c r="M86" s="405"/>
      <c r="N86" s="405"/>
      <c r="O86" s="405"/>
      <c r="P86" s="405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405"/>
      <c r="C87" s="405"/>
      <c r="D87" s="405"/>
      <c r="E87" s="405"/>
      <c r="F87" s="405"/>
      <c r="G87" s="405"/>
      <c r="H87" s="405"/>
      <c r="I87" s="405"/>
      <c r="J87" s="405"/>
      <c r="K87" s="405"/>
      <c r="L87" s="405"/>
      <c r="M87" s="405"/>
      <c r="N87" s="405"/>
      <c r="O87" s="405"/>
      <c r="P87" s="405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405"/>
      <c r="C88" s="405"/>
      <c r="D88" s="405"/>
      <c r="E88" s="405"/>
      <c r="F88" s="405"/>
      <c r="G88" s="405"/>
      <c r="H88" s="405"/>
      <c r="I88" s="405"/>
      <c r="J88" s="405"/>
      <c r="K88" s="405"/>
      <c r="L88" s="405"/>
      <c r="M88" s="405"/>
      <c r="N88" s="405"/>
      <c r="O88" s="405"/>
      <c r="P88" s="405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405"/>
      <c r="C89" s="405"/>
      <c r="D89" s="405"/>
      <c r="E89" s="405"/>
      <c r="F89" s="405"/>
      <c r="G89" s="405"/>
      <c r="H89" s="405"/>
      <c r="I89" s="405"/>
      <c r="J89" s="405"/>
      <c r="K89" s="405"/>
      <c r="L89" s="405"/>
      <c r="M89" s="405"/>
      <c r="N89" s="405"/>
      <c r="O89" s="405"/>
      <c r="P89" s="40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405"/>
      <c r="C90" s="405"/>
      <c r="D90" s="405"/>
      <c r="E90" s="405"/>
      <c r="F90" s="405"/>
      <c r="G90" s="405"/>
      <c r="H90" s="405"/>
      <c r="I90" s="405"/>
      <c r="J90" s="405"/>
      <c r="K90" s="405"/>
      <c r="L90" s="405"/>
      <c r="M90" s="405"/>
      <c r="N90" s="405"/>
      <c r="O90" s="405"/>
      <c r="P90" s="405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405"/>
      <c r="C91" s="405"/>
      <c r="D91" s="405"/>
      <c r="E91" s="405"/>
      <c r="F91" s="405"/>
      <c r="G91" s="405"/>
      <c r="H91" s="405"/>
      <c r="I91" s="405"/>
      <c r="J91" s="405"/>
      <c r="K91" s="405"/>
      <c r="L91" s="405"/>
      <c r="M91" s="405"/>
      <c r="N91" s="405"/>
      <c r="O91" s="405"/>
      <c r="P91" s="405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405"/>
      <c r="C92" s="405"/>
      <c r="D92" s="405"/>
      <c r="E92" s="405"/>
      <c r="F92" s="405"/>
      <c r="G92" s="405"/>
      <c r="H92" s="405"/>
      <c r="I92" s="405"/>
      <c r="J92" s="405"/>
      <c r="K92" s="405"/>
      <c r="L92" s="405"/>
      <c r="M92" s="405"/>
      <c r="N92" s="405"/>
      <c r="O92" s="405"/>
      <c r="P92" s="405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405"/>
      <c r="C93" s="405"/>
      <c r="D93" s="405"/>
      <c r="E93" s="405"/>
      <c r="F93" s="405"/>
      <c r="G93" s="405"/>
      <c r="H93" s="405"/>
      <c r="I93" s="405"/>
      <c r="J93" s="405"/>
      <c r="K93" s="405"/>
      <c r="L93" s="405"/>
      <c r="M93" s="405"/>
      <c r="N93" s="405"/>
      <c r="O93" s="405"/>
      <c r="P93" s="405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405"/>
      <c r="C94" s="405"/>
      <c r="D94" s="405"/>
      <c r="E94" s="405"/>
      <c r="F94" s="405"/>
      <c r="G94" s="405"/>
      <c r="H94" s="405"/>
      <c r="I94" s="405"/>
      <c r="J94" s="405"/>
      <c r="K94" s="405"/>
      <c r="L94" s="405"/>
      <c r="M94" s="405"/>
      <c r="N94" s="405"/>
      <c r="O94" s="405"/>
      <c r="P94" s="405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405"/>
      <c r="C95" s="405"/>
      <c r="D95" s="405"/>
      <c r="E95" s="405"/>
      <c r="F95" s="405"/>
      <c r="G95" s="405"/>
      <c r="H95" s="405"/>
      <c r="I95" s="405"/>
      <c r="J95" s="405"/>
      <c r="K95" s="405"/>
      <c r="L95" s="405"/>
      <c r="M95" s="405"/>
      <c r="N95" s="405"/>
      <c r="O95" s="405"/>
      <c r="P95" s="405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405"/>
      <c r="C96" s="405"/>
      <c r="D96" s="405"/>
      <c r="E96" s="405"/>
      <c r="F96" s="405"/>
      <c r="G96" s="405"/>
      <c r="H96" s="405"/>
      <c r="I96" s="405"/>
      <c r="J96" s="405"/>
      <c r="K96" s="405"/>
      <c r="L96" s="405"/>
      <c r="M96" s="405"/>
      <c r="N96" s="405"/>
      <c r="O96" s="405"/>
      <c r="P96" s="405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405"/>
      <c r="C97" s="405"/>
      <c r="D97" s="405"/>
      <c r="E97" s="405"/>
      <c r="F97" s="405"/>
      <c r="G97" s="405"/>
      <c r="H97" s="405"/>
      <c r="I97" s="405"/>
      <c r="J97" s="405"/>
      <c r="K97" s="405"/>
      <c r="L97" s="405"/>
      <c r="M97" s="405"/>
      <c r="N97" s="405"/>
      <c r="O97" s="405"/>
      <c r="P97" s="405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405"/>
      <c r="C98" s="405"/>
      <c r="D98" s="405"/>
      <c r="E98" s="405"/>
      <c r="F98" s="405"/>
      <c r="G98" s="405"/>
      <c r="H98" s="405"/>
      <c r="I98" s="405"/>
      <c r="J98" s="405"/>
      <c r="K98" s="405"/>
      <c r="L98" s="405"/>
      <c r="M98" s="405"/>
      <c r="N98" s="405"/>
      <c r="O98" s="405"/>
      <c r="P98" s="405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405"/>
      <c r="C99" s="405"/>
      <c r="D99" s="405"/>
      <c r="E99" s="405"/>
      <c r="F99" s="405"/>
      <c r="G99" s="405"/>
      <c r="H99" s="405"/>
      <c r="I99" s="405"/>
      <c r="J99" s="405"/>
      <c r="K99" s="405"/>
      <c r="L99" s="405"/>
      <c r="M99" s="405"/>
      <c r="N99" s="405"/>
      <c r="O99" s="405"/>
      <c r="P99" s="405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405"/>
      <c r="C100" s="405"/>
      <c r="D100" s="405"/>
      <c r="E100" s="405"/>
      <c r="F100" s="405"/>
      <c r="G100" s="405"/>
      <c r="H100" s="405"/>
      <c r="I100" s="405"/>
      <c r="J100" s="405"/>
      <c r="K100" s="405"/>
      <c r="L100" s="405"/>
      <c r="M100" s="405"/>
      <c r="N100" s="405"/>
      <c r="O100" s="405"/>
      <c r="P100" s="405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405"/>
      <c r="C101" s="405"/>
      <c r="D101" s="405"/>
      <c r="E101" s="405"/>
      <c r="F101" s="405"/>
      <c r="G101" s="405"/>
      <c r="H101" s="405"/>
      <c r="I101" s="405"/>
      <c r="J101" s="405"/>
      <c r="K101" s="405"/>
      <c r="L101" s="405"/>
      <c r="M101" s="405"/>
      <c r="N101" s="405"/>
      <c r="O101" s="405"/>
      <c r="P101" s="40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405"/>
      <c r="C102" s="405"/>
      <c r="D102" s="405"/>
      <c r="E102" s="405"/>
      <c r="F102" s="405"/>
      <c r="G102" s="405"/>
      <c r="H102" s="405"/>
      <c r="I102" s="405"/>
      <c r="J102" s="405"/>
      <c r="K102" s="405"/>
      <c r="L102" s="405"/>
      <c r="M102" s="405"/>
      <c r="N102" s="405"/>
      <c r="O102" s="405"/>
      <c r="P102" s="405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405"/>
      <c r="C103" s="405"/>
      <c r="D103" s="405"/>
      <c r="E103" s="405"/>
      <c r="F103" s="405"/>
      <c r="G103" s="405"/>
      <c r="H103" s="405"/>
      <c r="I103" s="405"/>
      <c r="J103" s="405"/>
      <c r="K103" s="405"/>
      <c r="L103" s="405"/>
      <c r="M103" s="405"/>
      <c r="N103" s="405"/>
      <c r="O103" s="405"/>
      <c r="P103" s="405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405"/>
      <c r="C104" s="405"/>
      <c r="D104" s="405"/>
      <c r="E104" s="405"/>
      <c r="F104" s="405"/>
      <c r="G104" s="405"/>
      <c r="H104" s="405"/>
      <c r="I104" s="405"/>
      <c r="J104" s="405"/>
      <c r="K104" s="405"/>
      <c r="L104" s="405"/>
      <c r="M104" s="405"/>
      <c r="N104" s="405"/>
      <c r="O104" s="405"/>
      <c r="P104" s="405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405"/>
      <c r="C105" s="405"/>
      <c r="D105" s="405"/>
      <c r="E105" s="405"/>
      <c r="F105" s="405"/>
      <c r="G105" s="405"/>
      <c r="H105" s="405"/>
      <c r="I105" s="405"/>
      <c r="J105" s="405"/>
      <c r="K105" s="405"/>
      <c r="L105" s="405"/>
      <c r="M105" s="405"/>
      <c r="N105" s="405"/>
      <c r="O105" s="405"/>
      <c r="P105" s="405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5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405"/>
      <c r="C107" s="405"/>
      <c r="D107" s="405"/>
      <c r="E107" s="405"/>
      <c r="F107" s="405"/>
      <c r="G107" s="405"/>
      <c r="H107" s="405"/>
      <c r="I107" s="405"/>
      <c r="J107" s="405"/>
      <c r="K107" s="405"/>
      <c r="L107" s="405"/>
      <c r="M107" s="405"/>
      <c r="N107" s="405"/>
      <c r="O107" s="405"/>
      <c r="P107" s="405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405"/>
      <c r="C108" s="405"/>
      <c r="D108" s="405"/>
      <c r="E108" s="405"/>
      <c r="F108" s="405"/>
      <c r="G108" s="405"/>
      <c r="H108" s="405"/>
      <c r="I108" s="405"/>
      <c r="J108" s="405"/>
      <c r="K108" s="405"/>
      <c r="L108" s="405"/>
      <c r="M108" s="405"/>
      <c r="N108" s="405"/>
      <c r="O108" s="405"/>
      <c r="P108" s="405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405"/>
      <c r="C109" s="405"/>
      <c r="D109" s="405"/>
      <c r="E109" s="405"/>
      <c r="F109" s="405"/>
      <c r="G109" s="405"/>
      <c r="H109" s="405"/>
      <c r="I109" s="405"/>
      <c r="J109" s="405"/>
      <c r="K109" s="405"/>
      <c r="L109" s="405"/>
      <c r="M109" s="405"/>
      <c r="N109" s="405"/>
      <c r="O109" s="405"/>
      <c r="P109" s="405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405"/>
      <c r="C110" s="405"/>
      <c r="D110" s="405"/>
      <c r="E110" s="405"/>
      <c r="F110" s="405"/>
      <c r="G110" s="405"/>
      <c r="H110" s="405"/>
      <c r="I110" s="405"/>
      <c r="J110" s="405"/>
      <c r="K110" s="405"/>
      <c r="L110" s="405"/>
      <c r="M110" s="405"/>
      <c r="N110" s="405"/>
      <c r="O110" s="405"/>
      <c r="P110" s="405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405"/>
      <c r="C111" s="405"/>
      <c r="D111" s="405"/>
      <c r="E111" s="405"/>
      <c r="F111" s="405"/>
      <c r="G111" s="405"/>
      <c r="H111" s="405"/>
      <c r="I111" s="405"/>
      <c r="J111" s="405"/>
      <c r="K111" s="405"/>
      <c r="L111" s="405"/>
      <c r="M111" s="405"/>
      <c r="N111" s="405"/>
      <c r="O111" s="405"/>
      <c r="P111" s="405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405"/>
      <c r="C112" s="405"/>
      <c r="D112" s="405"/>
      <c r="E112" s="405"/>
      <c r="F112" s="405"/>
      <c r="G112" s="405"/>
      <c r="H112" s="405"/>
      <c r="I112" s="405"/>
      <c r="J112" s="405"/>
      <c r="K112" s="405"/>
      <c r="L112" s="405"/>
      <c r="M112" s="405"/>
      <c r="N112" s="405"/>
      <c r="O112" s="405"/>
      <c r="P112" s="405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405"/>
      <c r="C113" s="405"/>
      <c r="D113" s="405"/>
      <c r="E113" s="405"/>
      <c r="F113" s="405"/>
      <c r="G113" s="405"/>
      <c r="H113" s="405"/>
      <c r="I113" s="405"/>
      <c r="J113" s="405"/>
      <c r="K113" s="405"/>
      <c r="L113" s="405"/>
      <c r="M113" s="405"/>
      <c r="N113" s="405"/>
      <c r="O113" s="405"/>
      <c r="P113" s="405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405"/>
      <c r="C114" s="405"/>
      <c r="D114" s="405"/>
      <c r="E114" s="405"/>
      <c r="F114" s="405"/>
      <c r="G114" s="405"/>
      <c r="H114" s="405"/>
      <c r="I114" s="405"/>
      <c r="J114" s="405"/>
      <c r="K114" s="405"/>
      <c r="L114" s="405"/>
      <c r="M114" s="405"/>
      <c r="N114" s="405"/>
      <c r="O114" s="405"/>
      <c r="P114" s="405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405"/>
      <c r="C115" s="405"/>
      <c r="D115" s="405"/>
      <c r="E115" s="405"/>
      <c r="F115" s="405"/>
      <c r="G115" s="405"/>
      <c r="H115" s="405"/>
      <c r="I115" s="405"/>
      <c r="J115" s="405"/>
      <c r="K115" s="405"/>
      <c r="L115" s="405"/>
      <c r="M115" s="405"/>
      <c r="N115" s="405"/>
      <c r="O115" s="405"/>
      <c r="P115" s="405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405"/>
      <c r="C117" s="405"/>
      <c r="D117" s="405"/>
      <c r="E117" s="405"/>
      <c r="F117" s="405"/>
      <c r="G117" s="405"/>
      <c r="H117" s="405"/>
      <c r="I117" s="405"/>
      <c r="J117" s="405"/>
      <c r="K117" s="405"/>
      <c r="L117" s="405"/>
      <c r="M117" s="405"/>
      <c r="N117" s="405"/>
      <c r="O117" s="405"/>
      <c r="P117" s="405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405"/>
      <c r="C118" s="405"/>
      <c r="D118" s="405"/>
      <c r="E118" s="405"/>
      <c r="F118" s="405"/>
      <c r="G118" s="405"/>
      <c r="H118" s="405"/>
      <c r="I118" s="405"/>
      <c r="J118" s="405"/>
      <c r="K118" s="405"/>
      <c r="L118" s="405"/>
      <c r="M118" s="405"/>
      <c r="N118" s="405"/>
      <c r="O118" s="405"/>
      <c r="P118" s="405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405"/>
      <c r="C119" s="405"/>
      <c r="D119" s="405"/>
      <c r="E119" s="405"/>
      <c r="F119" s="405"/>
      <c r="G119" s="405"/>
      <c r="H119" s="405"/>
      <c r="I119" s="405"/>
      <c r="J119" s="405"/>
      <c r="K119" s="405"/>
      <c r="L119" s="405"/>
      <c r="M119" s="405"/>
      <c r="N119" s="405"/>
      <c r="O119" s="405"/>
      <c r="P119" s="405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405"/>
      <c r="C120" s="405"/>
      <c r="D120" s="405"/>
      <c r="E120" s="405"/>
      <c r="F120" s="405"/>
      <c r="G120" s="405"/>
      <c r="H120" s="405"/>
      <c r="I120" s="405"/>
      <c r="J120" s="405"/>
      <c r="K120" s="405"/>
      <c r="L120" s="405"/>
      <c r="M120" s="405"/>
      <c r="N120" s="405"/>
      <c r="O120" s="405"/>
      <c r="P120" s="405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405"/>
      <c r="C121" s="405"/>
      <c r="D121" s="405"/>
      <c r="E121" s="405"/>
      <c r="F121" s="405"/>
      <c r="G121" s="405"/>
      <c r="H121" s="405"/>
      <c r="I121" s="405"/>
      <c r="J121" s="405"/>
      <c r="K121" s="405"/>
      <c r="L121" s="405"/>
      <c r="M121" s="405"/>
      <c r="N121" s="405"/>
      <c r="O121" s="405"/>
      <c r="P121" s="405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405"/>
      <c r="C122" s="405"/>
      <c r="D122" s="405"/>
      <c r="E122" s="405"/>
      <c r="F122" s="405"/>
      <c r="G122" s="405"/>
      <c r="H122" s="405"/>
      <c r="I122" s="405"/>
      <c r="J122" s="405"/>
      <c r="K122" s="405"/>
      <c r="L122" s="405"/>
      <c r="M122" s="405"/>
      <c r="N122" s="405"/>
      <c r="O122" s="405"/>
      <c r="P122" s="405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405"/>
      <c r="C123" s="405"/>
      <c r="D123" s="405"/>
      <c r="E123" s="405"/>
      <c r="F123" s="405"/>
      <c r="G123" s="405"/>
      <c r="H123" s="405"/>
      <c r="I123" s="405"/>
      <c r="J123" s="405"/>
      <c r="K123" s="405"/>
      <c r="L123" s="405"/>
      <c r="M123" s="405"/>
      <c r="N123" s="405"/>
      <c r="O123" s="405"/>
      <c r="P123" s="405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405"/>
      <c r="C124" s="405"/>
      <c r="D124" s="405"/>
      <c r="E124" s="405"/>
      <c r="F124" s="405"/>
      <c r="G124" s="405"/>
      <c r="H124" s="405"/>
      <c r="I124" s="405"/>
      <c r="J124" s="405"/>
      <c r="K124" s="405"/>
      <c r="L124" s="405"/>
      <c r="M124" s="405"/>
      <c r="N124" s="405"/>
      <c r="O124" s="405"/>
      <c r="P124" s="405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405"/>
      <c r="C125" s="405"/>
      <c r="D125" s="405"/>
      <c r="E125" s="405"/>
      <c r="F125" s="405"/>
      <c r="G125" s="405"/>
      <c r="H125" s="405"/>
      <c r="I125" s="405"/>
      <c r="J125" s="405"/>
      <c r="K125" s="405"/>
      <c r="L125" s="405"/>
      <c r="M125" s="405"/>
      <c r="N125" s="405"/>
      <c r="O125" s="405"/>
      <c r="P125" s="405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405"/>
      <c r="C126" s="405"/>
      <c r="D126" s="405"/>
      <c r="E126" s="405"/>
      <c r="F126" s="405"/>
      <c r="G126" s="405"/>
      <c r="H126" s="405"/>
      <c r="I126" s="405"/>
      <c r="J126" s="405"/>
      <c r="K126" s="405"/>
      <c r="L126" s="405"/>
      <c r="M126" s="405"/>
      <c r="N126" s="405"/>
      <c r="O126" s="405"/>
      <c r="P126" s="405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405"/>
      <c r="C127" s="405"/>
      <c r="D127" s="405"/>
      <c r="E127" s="405"/>
      <c r="F127" s="405"/>
      <c r="G127" s="405"/>
      <c r="H127" s="405"/>
      <c r="I127" s="405"/>
      <c r="J127" s="405"/>
      <c r="K127" s="405"/>
      <c r="L127" s="405"/>
      <c r="M127" s="405"/>
      <c r="N127" s="405"/>
      <c r="O127" s="405"/>
      <c r="P127" s="405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405"/>
      <c r="C128" s="405"/>
      <c r="D128" s="405"/>
      <c r="E128" s="405"/>
      <c r="F128" s="405"/>
      <c r="G128" s="405"/>
      <c r="H128" s="405"/>
      <c r="I128" s="405"/>
      <c r="J128" s="405"/>
      <c r="K128" s="405"/>
      <c r="L128" s="405"/>
      <c r="M128" s="405"/>
      <c r="N128" s="405"/>
      <c r="O128" s="405"/>
      <c r="P128" s="405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405"/>
      <c r="C129" s="405"/>
      <c r="D129" s="405"/>
      <c r="E129" s="405"/>
      <c r="F129" s="405"/>
      <c r="G129" s="405"/>
      <c r="H129" s="405"/>
      <c r="I129" s="405"/>
      <c r="J129" s="405"/>
      <c r="K129" s="405"/>
      <c r="L129" s="405"/>
      <c r="M129" s="405"/>
      <c r="N129" s="405"/>
      <c r="O129" s="405"/>
      <c r="P129" s="405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405"/>
      <c r="C130" s="405"/>
      <c r="D130" s="405"/>
      <c r="E130" s="405"/>
      <c r="F130" s="405"/>
      <c r="G130" s="405"/>
      <c r="H130" s="405"/>
      <c r="I130" s="405"/>
      <c r="J130" s="405"/>
      <c r="K130" s="405"/>
      <c r="L130" s="405"/>
      <c r="M130" s="405"/>
      <c r="N130" s="405"/>
      <c r="O130" s="405"/>
      <c r="P130" s="405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405"/>
      <c r="C131" s="405"/>
      <c r="D131" s="405"/>
      <c r="E131" s="405"/>
      <c r="F131" s="405"/>
      <c r="G131" s="405"/>
      <c r="H131" s="405"/>
      <c r="I131" s="405"/>
      <c r="J131" s="405"/>
      <c r="K131" s="405"/>
      <c r="L131" s="405"/>
      <c r="M131" s="405"/>
      <c r="N131" s="405"/>
      <c r="O131" s="405"/>
      <c r="P131" s="405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405"/>
      <c r="C132" s="405"/>
      <c r="D132" s="405"/>
      <c r="E132" s="405"/>
      <c r="F132" s="405"/>
      <c r="G132" s="405"/>
      <c r="H132" s="405"/>
      <c r="I132" s="405"/>
      <c r="J132" s="405"/>
      <c r="K132" s="405"/>
      <c r="L132" s="405"/>
      <c r="M132" s="405"/>
      <c r="N132" s="405"/>
      <c r="O132" s="405"/>
      <c r="P132" s="405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405"/>
      <c r="C133" s="405"/>
      <c r="D133" s="405"/>
      <c r="E133" s="405"/>
      <c r="F133" s="405"/>
      <c r="G133" s="405"/>
      <c r="H133" s="405"/>
      <c r="I133" s="405"/>
      <c r="J133" s="405"/>
      <c r="K133" s="405"/>
      <c r="L133" s="405"/>
      <c r="M133" s="405"/>
      <c r="N133" s="405"/>
      <c r="O133" s="405"/>
      <c r="P133" s="405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405"/>
      <c r="C134" s="405"/>
      <c r="D134" s="405"/>
      <c r="E134" s="405"/>
      <c r="F134" s="405"/>
      <c r="G134" s="405"/>
      <c r="H134" s="405"/>
      <c r="I134" s="405"/>
      <c r="J134" s="405"/>
      <c r="K134" s="405"/>
      <c r="L134" s="405"/>
      <c r="M134" s="405"/>
      <c r="N134" s="405"/>
      <c r="O134" s="405"/>
      <c r="P134" s="405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405"/>
      <c r="C135" s="405"/>
      <c r="D135" s="405"/>
      <c r="E135" s="405"/>
      <c r="F135" s="405"/>
      <c r="G135" s="405"/>
      <c r="H135" s="405"/>
      <c r="I135" s="405"/>
      <c r="J135" s="405"/>
      <c r="K135" s="405"/>
      <c r="L135" s="405"/>
      <c r="M135" s="405"/>
      <c r="N135" s="405"/>
      <c r="O135" s="405"/>
      <c r="P135" s="405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405"/>
      <c r="C136" s="405"/>
      <c r="D136" s="405"/>
      <c r="E136" s="405"/>
      <c r="F136" s="405"/>
      <c r="G136" s="405"/>
      <c r="H136" s="405"/>
      <c r="I136" s="405"/>
      <c r="J136" s="405"/>
      <c r="K136" s="405"/>
      <c r="L136" s="405"/>
      <c r="M136" s="405"/>
      <c r="N136" s="405"/>
      <c r="O136" s="405"/>
      <c r="P136" s="405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405"/>
      <c r="C137" s="405"/>
      <c r="D137" s="405"/>
      <c r="E137" s="405"/>
      <c r="F137" s="405"/>
      <c r="G137" s="405"/>
      <c r="H137" s="405"/>
      <c r="I137" s="405"/>
      <c r="J137" s="405"/>
      <c r="K137" s="405"/>
      <c r="L137" s="405"/>
      <c r="M137" s="405"/>
      <c r="N137" s="405"/>
      <c r="O137" s="405"/>
      <c r="P137" s="405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405"/>
      <c r="C138" s="405"/>
      <c r="D138" s="405"/>
      <c r="E138" s="405"/>
      <c r="F138" s="405"/>
      <c r="G138" s="405"/>
      <c r="H138" s="405"/>
      <c r="I138" s="405"/>
      <c r="J138" s="405"/>
      <c r="K138" s="405"/>
      <c r="L138" s="405"/>
      <c r="M138" s="405"/>
      <c r="N138" s="405"/>
      <c r="O138" s="405"/>
      <c r="P138" s="405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405"/>
      <c r="C139" s="405"/>
      <c r="D139" s="405"/>
      <c r="E139" s="405"/>
      <c r="F139" s="405"/>
      <c r="G139" s="405"/>
      <c r="H139" s="405"/>
      <c r="I139" s="405"/>
      <c r="J139" s="405"/>
      <c r="K139" s="405"/>
      <c r="L139" s="405"/>
      <c r="M139" s="405"/>
      <c r="N139" s="405"/>
      <c r="O139" s="405"/>
      <c r="P139" s="405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405"/>
      <c r="C140" s="405"/>
      <c r="D140" s="405"/>
      <c r="E140" s="405"/>
      <c r="F140" s="405"/>
      <c r="G140" s="405"/>
      <c r="H140" s="405"/>
      <c r="I140" s="405"/>
      <c r="J140" s="405"/>
      <c r="K140" s="405"/>
      <c r="L140" s="405"/>
      <c r="M140" s="405"/>
      <c r="N140" s="405"/>
      <c r="O140" s="405"/>
      <c r="P140" s="405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405"/>
      <c r="C141" s="405"/>
      <c r="D141" s="405"/>
      <c r="E141" s="405"/>
      <c r="F141" s="405"/>
      <c r="G141" s="405"/>
      <c r="H141" s="405"/>
      <c r="I141" s="405"/>
      <c r="J141" s="405"/>
      <c r="K141" s="405"/>
      <c r="L141" s="405"/>
      <c r="M141" s="405"/>
      <c r="N141" s="405"/>
      <c r="O141" s="405"/>
      <c r="P141" s="405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405"/>
      <c r="C142" s="405"/>
      <c r="D142" s="405"/>
      <c r="E142" s="405"/>
      <c r="F142" s="405"/>
      <c r="G142" s="405"/>
      <c r="H142" s="405"/>
      <c r="I142" s="405"/>
      <c r="J142" s="405"/>
      <c r="K142" s="405"/>
      <c r="L142" s="405"/>
      <c r="M142" s="405"/>
      <c r="N142" s="405"/>
      <c r="O142" s="405"/>
      <c r="P142" s="405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405"/>
      <c r="C143" s="405"/>
      <c r="D143" s="405"/>
      <c r="E143" s="405"/>
      <c r="F143" s="405"/>
      <c r="G143" s="405"/>
      <c r="H143" s="405"/>
      <c r="I143" s="405"/>
      <c r="J143" s="405"/>
      <c r="K143" s="405"/>
      <c r="L143" s="405"/>
      <c r="M143" s="405"/>
      <c r="N143" s="405"/>
      <c r="O143" s="405"/>
      <c r="P143" s="405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405"/>
      <c r="C144" s="405"/>
      <c r="D144" s="405"/>
      <c r="E144" s="405"/>
      <c r="F144" s="405"/>
      <c r="G144" s="405"/>
      <c r="H144" s="405"/>
      <c r="I144" s="405"/>
      <c r="J144" s="405"/>
      <c r="K144" s="405"/>
      <c r="L144" s="405"/>
      <c r="M144" s="405"/>
      <c r="N144" s="405"/>
      <c r="O144" s="405"/>
      <c r="P144" s="405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405"/>
      <c r="C145" s="405"/>
      <c r="D145" s="405"/>
      <c r="E145" s="405"/>
      <c r="F145" s="405"/>
      <c r="G145" s="405"/>
      <c r="H145" s="405"/>
      <c r="I145" s="405"/>
      <c r="J145" s="405"/>
      <c r="K145" s="405"/>
      <c r="L145" s="405"/>
      <c r="M145" s="405"/>
      <c r="N145" s="405"/>
      <c r="O145" s="405"/>
      <c r="P145" s="405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405"/>
      <c r="C146" s="405"/>
      <c r="D146" s="405"/>
      <c r="E146" s="405"/>
      <c r="F146" s="405"/>
      <c r="G146" s="405"/>
      <c r="H146" s="405"/>
      <c r="I146" s="405"/>
      <c r="J146" s="405"/>
      <c r="K146" s="405"/>
      <c r="L146" s="405"/>
      <c r="M146" s="405"/>
      <c r="N146" s="405"/>
      <c r="O146" s="405"/>
      <c r="P146" s="405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405"/>
      <c r="C147" s="405"/>
      <c r="D147" s="405"/>
      <c r="E147" s="405"/>
      <c r="F147" s="405"/>
      <c r="G147" s="405"/>
      <c r="H147" s="405"/>
      <c r="I147" s="405"/>
      <c r="J147" s="405"/>
      <c r="K147" s="405"/>
      <c r="L147" s="405"/>
      <c r="M147" s="405"/>
      <c r="N147" s="405"/>
      <c r="O147" s="405"/>
      <c r="P147" s="405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405"/>
      <c r="C148" s="405"/>
      <c r="D148" s="405"/>
      <c r="E148" s="405"/>
      <c r="F148" s="405"/>
      <c r="G148" s="405"/>
      <c r="H148" s="405"/>
      <c r="I148" s="405"/>
      <c r="J148" s="405"/>
      <c r="K148" s="405"/>
      <c r="L148" s="405"/>
      <c r="M148" s="405"/>
      <c r="N148" s="405"/>
      <c r="O148" s="405"/>
      <c r="P148" s="405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405"/>
      <c r="C149" s="405"/>
      <c r="D149" s="405"/>
      <c r="E149" s="405"/>
      <c r="F149" s="405"/>
      <c r="G149" s="405"/>
      <c r="H149" s="405"/>
      <c r="I149" s="405"/>
      <c r="J149" s="405"/>
      <c r="K149" s="405"/>
      <c r="L149" s="405"/>
      <c r="M149" s="405"/>
      <c r="N149" s="405"/>
      <c r="O149" s="405"/>
      <c r="P149" s="405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405"/>
      <c r="C150" s="405"/>
      <c r="D150" s="405"/>
      <c r="E150" s="405"/>
      <c r="F150" s="405"/>
      <c r="G150" s="405"/>
      <c r="H150" s="405"/>
      <c r="I150" s="405"/>
      <c r="J150" s="405"/>
      <c r="K150" s="405"/>
      <c r="L150" s="405"/>
      <c r="M150" s="405"/>
      <c r="N150" s="405"/>
      <c r="O150" s="405"/>
      <c r="P150" s="405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405"/>
      <c r="C151" s="405"/>
      <c r="D151" s="405"/>
      <c r="E151" s="405"/>
      <c r="F151" s="405"/>
      <c r="G151" s="405"/>
      <c r="H151" s="405"/>
      <c r="I151" s="405"/>
      <c r="J151" s="405"/>
      <c r="K151" s="405"/>
      <c r="L151" s="405"/>
      <c r="M151" s="405"/>
      <c r="N151" s="405"/>
      <c r="O151" s="405"/>
      <c r="P151" s="405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405"/>
      <c r="C152" s="405"/>
      <c r="D152" s="405"/>
      <c r="E152" s="405"/>
      <c r="F152" s="405"/>
      <c r="G152" s="405"/>
      <c r="H152" s="405"/>
      <c r="I152" s="405"/>
      <c r="J152" s="405"/>
      <c r="K152" s="405"/>
      <c r="L152" s="405"/>
      <c r="M152" s="405"/>
      <c r="N152" s="405"/>
      <c r="O152" s="405"/>
      <c r="P152" s="405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405"/>
      <c r="C153" s="405"/>
      <c r="D153" s="405"/>
      <c r="E153" s="405"/>
      <c r="F153" s="405"/>
      <c r="G153" s="405"/>
      <c r="H153" s="405"/>
      <c r="I153" s="405"/>
      <c r="J153" s="405"/>
      <c r="K153" s="405"/>
      <c r="L153" s="405"/>
      <c r="M153" s="405"/>
      <c r="N153" s="405"/>
      <c r="O153" s="405"/>
      <c r="P153" s="405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405"/>
      <c r="C154" s="405"/>
      <c r="D154" s="405"/>
      <c r="E154" s="405"/>
      <c r="F154" s="405"/>
      <c r="G154" s="405"/>
      <c r="H154" s="405"/>
      <c r="I154" s="405"/>
      <c r="J154" s="405"/>
      <c r="K154" s="405"/>
      <c r="L154" s="405"/>
      <c r="M154" s="405"/>
      <c r="N154" s="405"/>
      <c r="O154" s="405"/>
      <c r="P154" s="405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405"/>
      <c r="C155" s="405"/>
      <c r="D155" s="405"/>
      <c r="E155" s="405"/>
      <c r="F155" s="405"/>
      <c r="G155" s="405"/>
      <c r="H155" s="405"/>
      <c r="I155" s="405"/>
      <c r="J155" s="405"/>
      <c r="K155" s="405"/>
      <c r="L155" s="405"/>
      <c r="M155" s="405"/>
      <c r="N155" s="405"/>
      <c r="O155" s="405"/>
      <c r="P155" s="405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405"/>
      <c r="C156" s="405"/>
      <c r="D156" s="405"/>
      <c r="E156" s="405"/>
      <c r="F156" s="405"/>
      <c r="G156" s="405"/>
      <c r="H156" s="405"/>
      <c r="I156" s="405"/>
      <c r="J156" s="405"/>
      <c r="K156" s="405"/>
      <c r="L156" s="405"/>
      <c r="M156" s="405"/>
      <c r="N156" s="405"/>
      <c r="O156" s="405"/>
      <c r="P156" s="405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405"/>
      <c r="C157" s="405"/>
      <c r="D157" s="405"/>
      <c r="E157" s="405"/>
      <c r="F157" s="405"/>
      <c r="G157" s="405"/>
      <c r="H157" s="405"/>
      <c r="I157" s="405"/>
      <c r="J157" s="405"/>
      <c r="K157" s="405"/>
      <c r="L157" s="405"/>
      <c r="M157" s="405"/>
      <c r="N157" s="405"/>
      <c r="O157" s="405"/>
      <c r="P157" s="405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405"/>
      <c r="C158" s="405"/>
      <c r="D158" s="405"/>
      <c r="E158" s="405"/>
      <c r="F158" s="405"/>
      <c r="G158" s="405"/>
      <c r="H158" s="405"/>
      <c r="I158" s="405"/>
      <c r="J158" s="405"/>
      <c r="K158" s="405"/>
      <c r="L158" s="405"/>
      <c r="M158" s="405"/>
      <c r="N158" s="405"/>
      <c r="O158" s="405"/>
      <c r="P158" s="405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405"/>
      <c r="C159" s="405"/>
      <c r="D159" s="405"/>
      <c r="E159" s="405"/>
      <c r="F159" s="405"/>
      <c r="G159" s="405"/>
      <c r="H159" s="405"/>
      <c r="I159" s="405"/>
      <c r="J159" s="405"/>
      <c r="K159" s="405"/>
      <c r="L159" s="405"/>
      <c r="M159" s="405"/>
      <c r="N159" s="405"/>
      <c r="O159" s="405"/>
      <c r="P159" s="405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405"/>
      <c r="C160" s="405"/>
      <c r="D160" s="405"/>
      <c r="E160" s="405"/>
      <c r="F160" s="405"/>
      <c r="G160" s="405"/>
      <c r="H160" s="405"/>
      <c r="I160" s="405"/>
      <c r="J160" s="405"/>
      <c r="K160" s="405"/>
      <c r="L160" s="405"/>
      <c r="M160" s="405"/>
      <c r="N160" s="405"/>
      <c r="O160" s="405"/>
      <c r="P160" s="405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405"/>
      <c r="C161" s="405"/>
      <c r="D161" s="405"/>
      <c r="E161" s="405"/>
      <c r="F161" s="405"/>
      <c r="G161" s="405"/>
      <c r="H161" s="405"/>
      <c r="I161" s="405"/>
      <c r="J161" s="405"/>
      <c r="K161" s="405"/>
      <c r="L161" s="405"/>
      <c r="M161" s="405"/>
      <c r="N161" s="405"/>
      <c r="O161" s="405"/>
      <c r="P161" s="405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405"/>
      <c r="C162" s="405"/>
      <c r="D162" s="405"/>
      <c r="E162" s="405"/>
      <c r="F162" s="405"/>
      <c r="G162" s="405"/>
      <c r="H162" s="405"/>
      <c r="I162" s="405"/>
      <c r="J162" s="405"/>
      <c r="K162" s="405"/>
      <c r="L162" s="405"/>
      <c r="M162" s="405"/>
      <c r="N162" s="405"/>
      <c r="O162" s="405"/>
      <c r="P162" s="405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405"/>
      <c r="C163" s="405"/>
      <c r="D163" s="405"/>
      <c r="E163" s="405"/>
      <c r="F163" s="405"/>
      <c r="G163" s="405"/>
      <c r="H163" s="405"/>
      <c r="I163" s="405"/>
      <c r="J163" s="405"/>
      <c r="K163" s="405"/>
      <c r="L163" s="405"/>
      <c r="M163" s="405"/>
      <c r="N163" s="405"/>
      <c r="O163" s="405"/>
      <c r="P163" s="405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405"/>
      <c r="C164" s="405"/>
      <c r="D164" s="405"/>
      <c r="E164" s="405"/>
      <c r="F164" s="405"/>
      <c r="G164" s="405"/>
      <c r="H164" s="405"/>
      <c r="I164" s="405"/>
      <c r="J164" s="405"/>
      <c r="K164" s="405"/>
      <c r="L164" s="405"/>
      <c r="M164" s="405"/>
      <c r="N164" s="405"/>
      <c r="O164" s="405"/>
      <c r="P164" s="405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405"/>
      <c r="C165" s="405"/>
      <c r="D165" s="405"/>
      <c r="E165" s="405"/>
      <c r="F165" s="405"/>
      <c r="G165" s="405"/>
      <c r="H165" s="405"/>
      <c r="I165" s="405"/>
      <c r="J165" s="405"/>
      <c r="K165" s="405"/>
      <c r="L165" s="405"/>
      <c r="M165" s="405"/>
      <c r="N165" s="405"/>
      <c r="O165" s="405"/>
      <c r="P165" s="405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405"/>
      <c r="C166" s="405"/>
      <c r="D166" s="405"/>
      <c r="E166" s="405"/>
      <c r="F166" s="405"/>
      <c r="G166" s="405"/>
      <c r="H166" s="405"/>
      <c r="I166" s="405"/>
      <c r="J166" s="405"/>
      <c r="K166" s="405"/>
      <c r="L166" s="405"/>
      <c r="M166" s="405"/>
      <c r="N166" s="405"/>
      <c r="O166" s="405"/>
      <c r="P166" s="405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405"/>
      <c r="C167" s="405"/>
      <c r="D167" s="405"/>
      <c r="E167" s="405"/>
      <c r="F167" s="405"/>
      <c r="G167" s="405"/>
      <c r="H167" s="405"/>
      <c r="I167" s="405"/>
      <c r="J167" s="405"/>
      <c r="K167" s="405"/>
      <c r="L167" s="405"/>
      <c r="M167" s="405"/>
      <c r="N167" s="405"/>
      <c r="O167" s="405"/>
      <c r="P167" s="405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405"/>
      <c r="C168" s="405"/>
      <c r="D168" s="405"/>
      <c r="E168" s="405"/>
      <c r="F168" s="405"/>
      <c r="G168" s="405"/>
      <c r="H168" s="405"/>
      <c r="I168" s="405"/>
      <c r="J168" s="405"/>
      <c r="K168" s="405"/>
      <c r="L168" s="405"/>
      <c r="M168" s="405"/>
      <c r="N168" s="405"/>
      <c r="O168" s="405"/>
      <c r="P168" s="405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405"/>
      <c r="C169" s="405"/>
      <c r="D169" s="405"/>
      <c r="E169" s="405"/>
      <c r="F169" s="405"/>
      <c r="G169" s="405"/>
      <c r="H169" s="405"/>
      <c r="I169" s="405"/>
      <c r="J169" s="405"/>
      <c r="K169" s="405"/>
      <c r="L169" s="405"/>
      <c r="M169" s="405"/>
      <c r="N169" s="405"/>
      <c r="O169" s="405"/>
      <c r="P169" s="405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405"/>
      <c r="C170" s="405"/>
      <c r="D170" s="405"/>
      <c r="E170" s="405"/>
      <c r="F170" s="405"/>
      <c r="G170" s="405"/>
      <c r="H170" s="405"/>
      <c r="I170" s="405"/>
      <c r="J170" s="405"/>
      <c r="K170" s="405"/>
      <c r="L170" s="405"/>
      <c r="M170" s="405"/>
      <c r="N170" s="405"/>
      <c r="O170" s="405"/>
      <c r="P170" s="405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405"/>
      <c r="C171" s="405"/>
      <c r="D171" s="405"/>
      <c r="E171" s="405"/>
      <c r="F171" s="405"/>
      <c r="G171" s="405"/>
      <c r="H171" s="405"/>
      <c r="I171" s="405"/>
      <c r="J171" s="405"/>
      <c r="K171" s="405"/>
      <c r="L171" s="405"/>
      <c r="M171" s="405"/>
      <c r="N171" s="405"/>
      <c r="O171" s="405"/>
      <c r="P171" s="405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405"/>
      <c r="C172" s="405"/>
      <c r="D172" s="405"/>
      <c r="E172" s="405"/>
      <c r="F172" s="405"/>
      <c r="G172" s="405"/>
      <c r="H172" s="405"/>
      <c r="I172" s="405"/>
      <c r="J172" s="405"/>
      <c r="K172" s="405"/>
      <c r="L172" s="405"/>
      <c r="M172" s="405"/>
      <c r="N172" s="405"/>
      <c r="O172" s="405"/>
      <c r="P172" s="405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405"/>
      <c r="C173" s="405"/>
      <c r="D173" s="405"/>
      <c r="E173" s="405"/>
      <c r="F173" s="405"/>
      <c r="G173" s="405"/>
      <c r="H173" s="405"/>
      <c r="I173" s="405"/>
      <c r="J173" s="405"/>
      <c r="K173" s="405"/>
      <c r="L173" s="405"/>
      <c r="M173" s="405"/>
      <c r="N173" s="405"/>
      <c r="O173" s="405"/>
      <c r="P173" s="405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405"/>
      <c r="C174" s="405"/>
      <c r="D174" s="405"/>
      <c r="E174" s="405"/>
      <c r="F174" s="405"/>
      <c r="G174" s="405"/>
      <c r="H174" s="405"/>
      <c r="I174" s="405"/>
      <c r="J174" s="405"/>
      <c r="K174" s="405"/>
      <c r="L174" s="405"/>
      <c r="M174" s="405"/>
      <c r="N174" s="405"/>
      <c r="O174" s="405"/>
      <c r="P174" s="405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405"/>
      <c r="C175" s="405"/>
      <c r="D175" s="405"/>
      <c r="E175" s="405"/>
      <c r="F175" s="405"/>
      <c r="G175" s="405"/>
      <c r="H175" s="405"/>
      <c r="I175" s="405"/>
      <c r="J175" s="405"/>
      <c r="K175" s="405"/>
      <c r="L175" s="405"/>
      <c r="M175" s="405"/>
      <c r="N175" s="405"/>
      <c r="O175" s="405"/>
      <c r="P175" s="405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405"/>
      <c r="C176" s="405"/>
      <c r="D176" s="405"/>
      <c r="E176" s="405"/>
      <c r="F176" s="405"/>
      <c r="G176" s="405"/>
      <c r="H176" s="405"/>
      <c r="I176" s="405"/>
      <c r="J176" s="405"/>
      <c r="K176" s="405"/>
      <c r="L176" s="405"/>
      <c r="M176" s="405"/>
      <c r="N176" s="405"/>
      <c r="O176" s="405"/>
      <c r="P176" s="405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405"/>
      <c r="C177" s="405"/>
      <c r="D177" s="405"/>
      <c r="E177" s="405"/>
      <c r="F177" s="405"/>
      <c r="G177" s="405"/>
      <c r="H177" s="405"/>
      <c r="I177" s="405"/>
      <c r="J177" s="405"/>
      <c r="K177" s="405"/>
      <c r="L177" s="405"/>
      <c r="M177" s="405"/>
      <c r="N177" s="405"/>
      <c r="O177" s="405"/>
      <c r="P177" s="405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405"/>
      <c r="C178" s="405"/>
      <c r="D178" s="405"/>
      <c r="E178" s="405"/>
      <c r="F178" s="405"/>
      <c r="G178" s="405"/>
      <c r="H178" s="405"/>
      <c r="I178" s="405"/>
      <c r="J178" s="405"/>
      <c r="K178" s="405"/>
      <c r="L178" s="405"/>
      <c r="M178" s="405"/>
      <c r="N178" s="405"/>
      <c r="O178" s="405"/>
      <c r="P178" s="405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405"/>
      <c r="C179" s="405"/>
      <c r="D179" s="405"/>
      <c r="E179" s="405"/>
      <c r="F179" s="405"/>
      <c r="G179" s="405"/>
      <c r="H179" s="405"/>
      <c r="I179" s="405"/>
      <c r="J179" s="405"/>
      <c r="K179" s="405"/>
      <c r="L179" s="405"/>
      <c r="M179" s="405"/>
      <c r="N179" s="405"/>
      <c r="O179" s="405"/>
      <c r="P179" s="405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405"/>
      <c r="C180" s="405"/>
      <c r="D180" s="405"/>
      <c r="E180" s="405"/>
      <c r="F180" s="405"/>
      <c r="G180" s="405"/>
      <c r="H180" s="405"/>
      <c r="I180" s="405"/>
      <c r="J180" s="405"/>
      <c r="K180" s="405"/>
      <c r="L180" s="405"/>
      <c r="M180" s="405"/>
      <c r="N180" s="405"/>
      <c r="O180" s="405"/>
      <c r="P180" s="405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405"/>
      <c r="C181" s="405"/>
      <c r="D181" s="405"/>
      <c r="E181" s="405"/>
      <c r="F181" s="405"/>
      <c r="G181" s="405"/>
      <c r="H181" s="405"/>
      <c r="I181" s="405"/>
      <c r="J181" s="405"/>
      <c r="K181" s="405"/>
      <c r="L181" s="405"/>
      <c r="M181" s="405"/>
      <c r="N181" s="405"/>
      <c r="O181" s="405"/>
      <c r="P181" s="405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405"/>
      <c r="C182" s="405"/>
      <c r="D182" s="405"/>
      <c r="E182" s="405"/>
      <c r="F182" s="405"/>
      <c r="G182" s="405"/>
      <c r="H182" s="405"/>
      <c r="I182" s="405"/>
      <c r="J182" s="405"/>
      <c r="K182" s="405"/>
      <c r="L182" s="405"/>
      <c r="M182" s="405"/>
      <c r="N182" s="405"/>
      <c r="O182" s="405"/>
      <c r="P182" s="405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405"/>
      <c r="C183" s="405"/>
      <c r="D183" s="405"/>
      <c r="E183" s="405"/>
      <c r="F183" s="405"/>
      <c r="G183" s="405"/>
      <c r="H183" s="405"/>
      <c r="I183" s="405"/>
      <c r="J183" s="405"/>
      <c r="K183" s="405"/>
      <c r="L183" s="405"/>
      <c r="M183" s="405"/>
      <c r="N183" s="405"/>
      <c r="O183" s="405"/>
      <c r="P183" s="405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405"/>
      <c r="C184" s="405"/>
      <c r="D184" s="405"/>
      <c r="E184" s="405"/>
      <c r="F184" s="405"/>
      <c r="G184" s="405"/>
      <c r="H184" s="405"/>
      <c r="I184" s="405"/>
      <c r="J184" s="405"/>
      <c r="K184" s="405"/>
      <c r="L184" s="405"/>
      <c r="M184" s="405"/>
      <c r="N184" s="405"/>
      <c r="O184" s="405"/>
      <c r="P184" s="405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405"/>
      <c r="C185" s="405"/>
      <c r="D185" s="405"/>
      <c r="E185" s="405"/>
      <c r="F185" s="405"/>
      <c r="G185" s="405"/>
      <c r="H185" s="405"/>
      <c r="I185" s="405"/>
      <c r="J185" s="405"/>
      <c r="K185" s="405"/>
      <c r="L185" s="405"/>
      <c r="M185" s="405"/>
      <c r="N185" s="405"/>
      <c r="O185" s="405"/>
      <c r="P185" s="405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405"/>
      <c r="C186" s="405"/>
      <c r="D186" s="405"/>
      <c r="E186" s="405"/>
      <c r="F186" s="405"/>
      <c r="G186" s="405"/>
      <c r="H186" s="405"/>
      <c r="I186" s="405"/>
      <c r="J186" s="405"/>
      <c r="K186" s="405"/>
      <c r="L186" s="405"/>
      <c r="M186" s="405"/>
      <c r="N186" s="405"/>
      <c r="O186" s="405"/>
      <c r="P186" s="405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405"/>
      <c r="C187" s="405"/>
      <c r="D187" s="405"/>
      <c r="E187" s="405"/>
      <c r="F187" s="405"/>
      <c r="G187" s="405"/>
      <c r="H187" s="405"/>
      <c r="I187" s="405"/>
      <c r="J187" s="405"/>
      <c r="K187" s="405"/>
      <c r="L187" s="405"/>
      <c r="M187" s="405"/>
      <c r="N187" s="405"/>
      <c r="O187" s="405"/>
      <c r="P187" s="405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405"/>
      <c r="C188" s="405"/>
      <c r="D188" s="405"/>
      <c r="E188" s="405"/>
      <c r="F188" s="405"/>
      <c r="G188" s="405"/>
      <c r="H188" s="405"/>
      <c r="I188" s="405"/>
      <c r="J188" s="405"/>
      <c r="K188" s="405"/>
      <c r="L188" s="405"/>
      <c r="M188" s="405"/>
      <c r="N188" s="405"/>
      <c r="O188" s="405"/>
      <c r="P188" s="405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405"/>
      <c r="C189" s="405"/>
      <c r="D189" s="405"/>
      <c r="E189" s="405"/>
      <c r="F189" s="405"/>
      <c r="G189" s="405"/>
      <c r="H189" s="405"/>
      <c r="I189" s="405"/>
      <c r="J189" s="405"/>
      <c r="K189" s="405"/>
      <c r="L189" s="405"/>
      <c r="M189" s="405"/>
      <c r="N189" s="405"/>
      <c r="O189" s="405"/>
      <c r="P189" s="405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405"/>
      <c r="C190" s="405"/>
      <c r="D190" s="405"/>
      <c r="E190" s="405"/>
      <c r="F190" s="405"/>
      <c r="G190" s="405"/>
      <c r="H190" s="405"/>
      <c r="I190" s="405"/>
      <c r="J190" s="405"/>
      <c r="K190" s="405"/>
      <c r="L190" s="405"/>
      <c r="M190" s="405"/>
      <c r="N190" s="405"/>
      <c r="O190" s="405"/>
      <c r="P190" s="405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405"/>
      <c r="C191" s="405"/>
      <c r="D191" s="405"/>
      <c r="E191" s="405"/>
      <c r="F191" s="405"/>
      <c r="G191" s="405"/>
      <c r="H191" s="405"/>
      <c r="I191" s="405"/>
      <c r="J191" s="405"/>
      <c r="K191" s="405"/>
      <c r="L191" s="405"/>
      <c r="M191" s="405"/>
      <c r="N191" s="405"/>
      <c r="O191" s="405"/>
      <c r="P191" s="405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405"/>
      <c r="C192" s="405"/>
      <c r="D192" s="405"/>
      <c r="E192" s="405"/>
      <c r="F192" s="405"/>
      <c r="G192" s="405"/>
      <c r="H192" s="405"/>
      <c r="I192" s="405"/>
      <c r="J192" s="405"/>
      <c r="K192" s="405"/>
      <c r="L192" s="405"/>
      <c r="M192" s="405"/>
      <c r="N192" s="405"/>
      <c r="O192" s="405"/>
      <c r="P192" s="405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405"/>
      <c r="C193" s="405"/>
      <c r="D193" s="405"/>
      <c r="E193" s="405"/>
      <c r="F193" s="405"/>
      <c r="G193" s="405"/>
      <c r="H193" s="405"/>
      <c r="I193" s="405"/>
      <c r="J193" s="405"/>
      <c r="K193" s="405"/>
      <c r="L193" s="405"/>
      <c r="M193" s="405"/>
      <c r="N193" s="405"/>
      <c r="O193" s="405"/>
      <c r="P193" s="405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405"/>
      <c r="C194" s="405"/>
      <c r="D194" s="405"/>
      <c r="E194" s="405"/>
      <c r="F194" s="405"/>
      <c r="G194" s="405"/>
      <c r="H194" s="405"/>
      <c r="I194" s="405"/>
      <c r="J194" s="405"/>
      <c r="K194" s="405"/>
      <c r="L194" s="405"/>
      <c r="M194" s="405"/>
      <c r="N194" s="405"/>
      <c r="O194" s="405"/>
      <c r="P194" s="405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405"/>
      <c r="C195" s="405"/>
      <c r="D195" s="405"/>
      <c r="E195" s="405"/>
      <c r="F195" s="405"/>
      <c r="G195" s="405"/>
      <c r="H195" s="405"/>
      <c r="I195" s="405"/>
      <c r="J195" s="405"/>
      <c r="K195" s="405"/>
      <c r="L195" s="405"/>
      <c r="M195" s="405"/>
      <c r="N195" s="405"/>
      <c r="O195" s="405"/>
      <c r="P195" s="405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405"/>
      <c r="C196" s="405"/>
      <c r="D196" s="405"/>
      <c r="E196" s="405"/>
      <c r="F196" s="405"/>
      <c r="G196" s="405"/>
      <c r="H196" s="405"/>
      <c r="I196" s="405"/>
      <c r="J196" s="405"/>
      <c r="K196" s="405"/>
      <c r="L196" s="405"/>
      <c r="M196" s="405"/>
      <c r="N196" s="405"/>
      <c r="O196" s="405"/>
      <c r="P196" s="405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405"/>
      <c r="C197" s="405"/>
      <c r="D197" s="405"/>
      <c r="E197" s="405"/>
      <c r="F197" s="405"/>
      <c r="G197" s="405"/>
      <c r="H197" s="405"/>
      <c r="I197" s="405"/>
      <c r="J197" s="405"/>
      <c r="K197" s="405"/>
      <c r="L197" s="405"/>
      <c r="M197" s="405"/>
      <c r="N197" s="405"/>
      <c r="O197" s="405"/>
      <c r="P197" s="405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405"/>
      <c r="C198" s="405"/>
      <c r="D198" s="405"/>
      <c r="E198" s="405"/>
      <c r="F198" s="405"/>
      <c r="G198" s="405"/>
      <c r="H198" s="405"/>
      <c r="I198" s="405"/>
      <c r="J198" s="405"/>
      <c r="K198" s="405"/>
      <c r="L198" s="405"/>
      <c r="M198" s="405"/>
      <c r="N198" s="405"/>
      <c r="O198" s="405"/>
      <c r="P198" s="405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405"/>
      <c r="C199" s="405"/>
      <c r="D199" s="405"/>
      <c r="E199" s="405"/>
      <c r="F199" s="405"/>
      <c r="G199" s="405"/>
      <c r="H199" s="405"/>
      <c r="I199" s="405"/>
      <c r="J199" s="405"/>
      <c r="K199" s="405"/>
      <c r="L199" s="405"/>
      <c r="M199" s="405"/>
      <c r="N199" s="405"/>
      <c r="O199" s="405"/>
      <c r="P199" s="405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405"/>
      <c r="C200" s="405"/>
      <c r="D200" s="405"/>
      <c r="E200" s="405"/>
      <c r="F200" s="405"/>
      <c r="G200" s="405"/>
      <c r="H200" s="405"/>
      <c r="I200" s="405"/>
      <c r="J200" s="405"/>
      <c r="K200" s="405"/>
      <c r="L200" s="405"/>
      <c r="M200" s="405"/>
      <c r="N200" s="405"/>
      <c r="O200" s="405"/>
      <c r="P200" s="40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405"/>
      <c r="C201" s="405"/>
      <c r="D201" s="405"/>
      <c r="E201" s="405"/>
      <c r="F201" s="405"/>
      <c r="G201" s="405"/>
      <c r="H201" s="405"/>
      <c r="I201" s="405"/>
      <c r="J201" s="405"/>
      <c r="K201" s="405"/>
      <c r="L201" s="405"/>
      <c r="M201" s="405"/>
      <c r="N201" s="405"/>
      <c r="O201" s="405"/>
      <c r="P201" s="40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405"/>
      <c r="C202" s="405"/>
      <c r="D202" s="405"/>
      <c r="E202" s="405"/>
      <c r="F202" s="405"/>
      <c r="G202" s="405"/>
      <c r="H202" s="405"/>
      <c r="I202" s="405"/>
      <c r="J202" s="405"/>
      <c r="K202" s="405"/>
      <c r="L202" s="405"/>
      <c r="M202" s="405"/>
      <c r="N202" s="405"/>
      <c r="O202" s="405"/>
      <c r="P202" s="405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405"/>
      <c r="C203" s="405"/>
      <c r="D203" s="405"/>
      <c r="E203" s="405"/>
      <c r="F203" s="405"/>
      <c r="G203" s="405"/>
      <c r="H203" s="405"/>
      <c r="I203" s="405"/>
      <c r="J203" s="405"/>
      <c r="K203" s="405"/>
      <c r="L203" s="405"/>
      <c r="M203" s="405"/>
      <c r="N203" s="405"/>
      <c r="O203" s="405"/>
      <c r="P203" s="40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405"/>
      <c r="C204" s="405"/>
      <c r="D204" s="405"/>
      <c r="E204" s="405"/>
      <c r="F204" s="405"/>
      <c r="G204" s="405"/>
      <c r="H204" s="405"/>
      <c r="I204" s="405"/>
      <c r="J204" s="405"/>
      <c r="K204" s="405"/>
      <c r="L204" s="405"/>
      <c r="M204" s="405"/>
      <c r="N204" s="405"/>
      <c r="O204" s="405"/>
      <c r="P204" s="405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405"/>
      <c r="C205" s="405"/>
      <c r="D205" s="405"/>
      <c r="E205" s="405"/>
      <c r="F205" s="405"/>
      <c r="G205" s="405"/>
      <c r="H205" s="405"/>
      <c r="I205" s="405"/>
      <c r="J205" s="405"/>
      <c r="K205" s="405"/>
      <c r="L205" s="405"/>
      <c r="M205" s="405"/>
      <c r="N205" s="405"/>
      <c r="O205" s="405"/>
      <c r="P205" s="40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405"/>
      <c r="C206" s="405"/>
      <c r="D206" s="405"/>
      <c r="E206" s="405"/>
      <c r="F206" s="405"/>
      <c r="G206" s="405"/>
      <c r="H206" s="405"/>
      <c r="I206" s="405"/>
      <c r="J206" s="405"/>
      <c r="K206" s="405"/>
      <c r="L206" s="405"/>
      <c r="M206" s="405"/>
      <c r="N206" s="405"/>
      <c r="O206" s="405"/>
      <c r="P206" s="40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405"/>
      <c r="C207" s="405"/>
      <c r="D207" s="405"/>
      <c r="E207" s="405"/>
      <c r="F207" s="405"/>
      <c r="G207" s="405"/>
      <c r="H207" s="405"/>
      <c r="I207" s="405"/>
      <c r="J207" s="405"/>
      <c r="K207" s="405"/>
      <c r="L207" s="405"/>
      <c r="M207" s="405"/>
      <c r="N207" s="405"/>
      <c r="O207" s="405"/>
      <c r="P207" s="40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405"/>
      <c r="C208" s="405"/>
      <c r="D208" s="405"/>
      <c r="E208" s="405"/>
      <c r="F208" s="405"/>
      <c r="G208" s="405"/>
      <c r="H208" s="405"/>
      <c r="I208" s="405"/>
      <c r="J208" s="405"/>
      <c r="K208" s="405"/>
      <c r="L208" s="405"/>
      <c r="M208" s="405"/>
      <c r="N208" s="405"/>
      <c r="O208" s="405"/>
      <c r="P208" s="40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405"/>
      <c r="C209" s="405"/>
      <c r="D209" s="405"/>
      <c r="E209" s="405"/>
      <c r="F209" s="405"/>
      <c r="G209" s="405"/>
      <c r="H209" s="405"/>
      <c r="I209" s="405"/>
      <c r="J209" s="405"/>
      <c r="K209" s="405"/>
      <c r="L209" s="405"/>
      <c r="M209" s="405"/>
      <c r="N209" s="405"/>
      <c r="O209" s="405"/>
      <c r="P209" s="40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405"/>
      <c r="C210" s="405"/>
      <c r="D210" s="405"/>
      <c r="E210" s="405"/>
      <c r="F210" s="405"/>
      <c r="G210" s="405"/>
      <c r="H210" s="405"/>
      <c r="I210" s="405"/>
      <c r="J210" s="405"/>
      <c r="K210" s="405"/>
      <c r="L210" s="405"/>
      <c r="M210" s="405"/>
      <c r="N210" s="405"/>
      <c r="O210" s="405"/>
      <c r="P210" s="40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405"/>
      <c r="C211" s="405"/>
      <c r="D211" s="405"/>
      <c r="E211" s="405"/>
      <c r="F211" s="405"/>
      <c r="G211" s="405"/>
      <c r="H211" s="405"/>
      <c r="I211" s="405"/>
      <c r="J211" s="405"/>
      <c r="K211" s="405"/>
      <c r="L211" s="405"/>
      <c r="M211" s="405"/>
      <c r="N211" s="405"/>
      <c r="O211" s="405"/>
      <c r="P211" s="40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405"/>
      <c r="C212" s="405"/>
      <c r="D212" s="405"/>
      <c r="E212" s="405"/>
      <c r="F212" s="405"/>
      <c r="G212" s="405"/>
      <c r="H212" s="405"/>
      <c r="I212" s="405"/>
      <c r="J212" s="405"/>
      <c r="K212" s="405"/>
      <c r="L212" s="405"/>
      <c r="M212" s="405"/>
      <c r="N212" s="405"/>
      <c r="O212" s="405"/>
      <c r="P212" s="40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405"/>
      <c r="C213" s="405"/>
      <c r="D213" s="405"/>
      <c r="E213" s="405"/>
      <c r="F213" s="405"/>
      <c r="G213" s="405"/>
      <c r="H213" s="405"/>
      <c r="I213" s="405"/>
      <c r="J213" s="405"/>
      <c r="K213" s="405"/>
      <c r="L213" s="405"/>
      <c r="M213" s="405"/>
      <c r="N213" s="405"/>
      <c r="O213" s="405"/>
      <c r="P213" s="40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405"/>
      <c r="C214" s="405"/>
      <c r="D214" s="405"/>
      <c r="E214" s="405"/>
      <c r="F214" s="405"/>
      <c r="G214" s="405"/>
      <c r="H214" s="405"/>
      <c r="I214" s="405"/>
      <c r="J214" s="405"/>
      <c r="K214" s="405"/>
      <c r="L214" s="405"/>
      <c r="M214" s="405"/>
      <c r="N214" s="405"/>
      <c r="O214" s="405"/>
      <c r="P214" s="40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405"/>
      <c r="C215" s="405"/>
      <c r="D215" s="405"/>
      <c r="E215" s="405"/>
      <c r="F215" s="405"/>
      <c r="G215" s="405"/>
      <c r="H215" s="405"/>
      <c r="I215" s="405"/>
      <c r="J215" s="405"/>
      <c r="K215" s="405"/>
      <c r="L215" s="405"/>
      <c r="M215" s="405"/>
      <c r="N215" s="405"/>
      <c r="O215" s="405"/>
      <c r="P215" s="40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405"/>
      <c r="C216" s="405"/>
      <c r="D216" s="405"/>
      <c r="E216" s="405"/>
      <c r="F216" s="405"/>
      <c r="G216" s="405"/>
      <c r="H216" s="405"/>
      <c r="I216" s="405"/>
      <c r="J216" s="405"/>
      <c r="K216" s="405"/>
      <c r="L216" s="405"/>
      <c r="M216" s="405"/>
      <c r="N216" s="405"/>
      <c r="O216" s="405"/>
      <c r="P216" s="40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405"/>
      <c r="C217" s="405"/>
      <c r="D217" s="405"/>
      <c r="E217" s="405"/>
      <c r="F217" s="405"/>
      <c r="G217" s="405"/>
      <c r="H217" s="405"/>
      <c r="I217" s="405"/>
      <c r="J217" s="405"/>
      <c r="K217" s="405"/>
      <c r="L217" s="405"/>
      <c r="M217" s="405"/>
      <c r="N217" s="405"/>
      <c r="O217" s="405"/>
      <c r="P217" s="40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405"/>
      <c r="C218" s="405"/>
      <c r="D218" s="405"/>
      <c r="E218" s="405"/>
      <c r="F218" s="405"/>
      <c r="G218" s="405"/>
      <c r="H218" s="405"/>
      <c r="I218" s="405"/>
      <c r="J218" s="405"/>
      <c r="K218" s="405"/>
      <c r="L218" s="405"/>
      <c r="M218" s="405"/>
      <c r="N218" s="405"/>
      <c r="O218" s="405"/>
      <c r="P218" s="40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405"/>
      <c r="C219" s="405"/>
      <c r="D219" s="405"/>
      <c r="E219" s="405"/>
      <c r="F219" s="405"/>
      <c r="G219" s="405"/>
      <c r="H219" s="405"/>
      <c r="I219" s="405"/>
      <c r="J219" s="405"/>
      <c r="K219" s="405"/>
      <c r="L219" s="405"/>
      <c r="M219" s="405"/>
      <c r="N219" s="405"/>
      <c r="O219" s="405"/>
      <c r="P219" s="40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405"/>
      <c r="C220" s="405"/>
      <c r="D220" s="405"/>
      <c r="E220" s="405"/>
      <c r="F220" s="405"/>
      <c r="G220" s="405"/>
      <c r="H220" s="405"/>
      <c r="I220" s="405"/>
      <c r="J220" s="405"/>
      <c r="K220" s="405"/>
      <c r="L220" s="405"/>
      <c r="M220" s="405"/>
      <c r="N220" s="405"/>
      <c r="O220" s="405"/>
      <c r="P220" s="40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405"/>
      <c r="C221" s="405"/>
      <c r="D221" s="405"/>
      <c r="E221" s="405"/>
      <c r="F221" s="405"/>
      <c r="G221" s="405"/>
      <c r="H221" s="405"/>
      <c r="I221" s="405"/>
      <c r="J221" s="405"/>
      <c r="K221" s="405"/>
      <c r="L221" s="405"/>
      <c r="M221" s="405"/>
      <c r="N221" s="405"/>
      <c r="O221" s="405"/>
      <c r="P221" s="40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405"/>
      <c r="C222" s="405"/>
      <c r="D222" s="405"/>
      <c r="E222" s="405"/>
      <c r="F222" s="405"/>
      <c r="G222" s="405"/>
      <c r="H222" s="405"/>
      <c r="I222" s="405"/>
      <c r="J222" s="405"/>
      <c r="K222" s="405"/>
      <c r="L222" s="405"/>
      <c r="M222" s="405"/>
      <c r="N222" s="405"/>
      <c r="O222" s="405"/>
      <c r="P222" s="40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405"/>
      <c r="C223" s="405"/>
      <c r="D223" s="405"/>
      <c r="E223" s="405"/>
      <c r="F223" s="405"/>
      <c r="G223" s="405"/>
      <c r="H223" s="405"/>
      <c r="I223" s="405"/>
      <c r="J223" s="405"/>
      <c r="K223" s="405"/>
      <c r="L223" s="405"/>
      <c r="M223" s="405"/>
      <c r="N223" s="405"/>
      <c r="O223" s="405"/>
      <c r="P223" s="40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405"/>
      <c r="C224" s="405"/>
      <c r="D224" s="405"/>
      <c r="E224" s="405"/>
      <c r="F224" s="405"/>
      <c r="G224" s="405"/>
      <c r="H224" s="405"/>
      <c r="I224" s="405"/>
      <c r="J224" s="405"/>
      <c r="K224" s="405"/>
      <c r="L224" s="405"/>
      <c r="M224" s="405"/>
      <c r="N224" s="405"/>
      <c r="O224" s="405"/>
      <c r="P224" s="40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405"/>
      <c r="C225" s="405"/>
      <c r="D225" s="405"/>
      <c r="E225" s="405"/>
      <c r="F225" s="405"/>
      <c r="G225" s="405"/>
      <c r="H225" s="405"/>
      <c r="I225" s="405"/>
      <c r="J225" s="405"/>
      <c r="K225" s="405"/>
      <c r="L225" s="405"/>
      <c r="M225" s="405"/>
      <c r="N225" s="405"/>
      <c r="O225" s="405"/>
      <c r="P225" s="40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405"/>
      <c r="C226" s="405"/>
      <c r="D226" s="405"/>
      <c r="E226" s="405"/>
      <c r="F226" s="405"/>
      <c r="G226" s="405"/>
      <c r="H226" s="405"/>
      <c r="I226" s="405"/>
      <c r="J226" s="405"/>
      <c r="K226" s="405"/>
      <c r="L226" s="405"/>
      <c r="M226" s="405"/>
      <c r="N226" s="405"/>
      <c r="O226" s="405"/>
      <c r="P226" s="40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405"/>
      <c r="C227" s="405"/>
      <c r="D227" s="405"/>
      <c r="E227" s="405"/>
      <c r="F227" s="405"/>
      <c r="G227" s="405"/>
      <c r="H227" s="405"/>
      <c r="I227" s="405"/>
      <c r="J227" s="405"/>
      <c r="K227" s="405"/>
      <c r="L227" s="405"/>
      <c r="M227" s="405"/>
      <c r="N227" s="405"/>
      <c r="O227" s="405"/>
      <c r="P227" s="40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405"/>
      <c r="C228" s="405"/>
      <c r="D228" s="405"/>
      <c r="E228" s="405"/>
      <c r="F228" s="405"/>
      <c r="G228" s="405"/>
      <c r="H228" s="405"/>
      <c r="I228" s="405"/>
      <c r="J228" s="405"/>
      <c r="K228" s="405"/>
      <c r="L228" s="405"/>
      <c r="M228" s="405"/>
      <c r="N228" s="405"/>
      <c r="O228" s="405"/>
      <c r="P228" s="40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">
    <mergeCell ref="M22:M25"/>
    <mergeCell ref="N22:N25"/>
    <mergeCell ref="O26:P27"/>
    <mergeCell ref="H22:H25"/>
    <mergeCell ref="I22:I25"/>
    <mergeCell ref="J22:J25"/>
    <mergeCell ref="K22:K25"/>
    <mergeCell ref="L22:L25"/>
    <mergeCell ref="M18:M21"/>
    <mergeCell ref="N18:N21"/>
    <mergeCell ref="F18:F21"/>
    <mergeCell ref="G18:G21"/>
    <mergeCell ref="H18:H21"/>
    <mergeCell ref="I18:I21"/>
    <mergeCell ref="J18:J21"/>
    <mergeCell ref="K18:K21"/>
    <mergeCell ref="L18:L21"/>
    <mergeCell ref="O9:P13"/>
    <mergeCell ref="B3:C3"/>
    <mergeCell ref="C4:N5"/>
    <mergeCell ref="D9:D13"/>
    <mergeCell ref="E9:E13"/>
    <mergeCell ref="F9:F13"/>
    <mergeCell ref="G9:G13"/>
    <mergeCell ref="N9:N13"/>
    <mergeCell ref="H26:H27"/>
    <mergeCell ref="I26:I27"/>
    <mergeCell ref="C28:N28"/>
    <mergeCell ref="H9:H13"/>
    <mergeCell ref="I9:I13"/>
    <mergeCell ref="H14:H16"/>
    <mergeCell ref="I14:I16"/>
    <mergeCell ref="J9:J13"/>
    <mergeCell ref="K9:K13"/>
    <mergeCell ref="J14:J16"/>
    <mergeCell ref="K14:K16"/>
    <mergeCell ref="L14:L16"/>
    <mergeCell ref="M14:M16"/>
    <mergeCell ref="N14:N16"/>
    <mergeCell ref="L9:L13"/>
    <mergeCell ref="M9:M13"/>
    <mergeCell ref="C26:C27"/>
    <mergeCell ref="D26:D27"/>
    <mergeCell ref="E26:E27"/>
    <mergeCell ref="F26:F27"/>
    <mergeCell ref="G26:G27"/>
    <mergeCell ref="J26:J27"/>
    <mergeCell ref="K26:K27"/>
    <mergeCell ref="L26:L27"/>
    <mergeCell ref="M26:M27"/>
    <mergeCell ref="N26:N27"/>
    <mergeCell ref="G14:G16"/>
    <mergeCell ref="C18:C21"/>
    <mergeCell ref="D18:D21"/>
    <mergeCell ref="E18:E21"/>
    <mergeCell ref="C22:C25"/>
    <mergeCell ref="D22:D25"/>
    <mergeCell ref="E22:E25"/>
    <mergeCell ref="F22:F25"/>
    <mergeCell ref="G22:G25"/>
    <mergeCell ref="C9:C13"/>
    <mergeCell ref="C14:C16"/>
    <mergeCell ref="D14:D16"/>
    <mergeCell ref="E14:E16"/>
    <mergeCell ref="F14:F1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tabSelected="1" workbookViewId="0"/>
  </sheetViews>
  <sheetFormatPr baseColWidth="10" defaultColWidth="12.5703125" defaultRowHeight="15" customHeight="1"/>
  <cols>
    <col min="1" max="1" width="28.85546875" customWidth="1"/>
    <col min="2" max="2" width="24.42578125" customWidth="1"/>
    <col min="3" max="3" width="20" customWidth="1"/>
    <col min="4" max="4" width="19.7109375" customWidth="1"/>
    <col min="5" max="5" width="18.7109375" customWidth="1"/>
    <col min="7" max="7" width="18.7109375" customWidth="1"/>
    <col min="13" max="14" width="68.140625" customWidth="1"/>
    <col min="15" max="15" width="27.28515625" hidden="1" customWidth="1"/>
    <col min="16" max="16" width="25.42578125" hidden="1" customWidth="1"/>
    <col min="17" max="17" width="18.140625" hidden="1" customWidth="1"/>
  </cols>
  <sheetData>
    <row r="1" spans="1:26" ht="15.75" customHeight="1">
      <c r="A1" s="417"/>
      <c r="B1" s="418" t="s">
        <v>123</v>
      </c>
      <c r="C1" s="418" t="s">
        <v>689</v>
      </c>
      <c r="D1" s="418" t="s">
        <v>787</v>
      </c>
      <c r="E1" s="418" t="s">
        <v>788</v>
      </c>
      <c r="F1" s="418" t="s">
        <v>789</v>
      </c>
      <c r="G1" s="418" t="s">
        <v>790</v>
      </c>
      <c r="H1" s="418" t="s">
        <v>791</v>
      </c>
      <c r="I1" s="418" t="s">
        <v>792</v>
      </c>
      <c r="J1" s="418" t="s">
        <v>793</v>
      </c>
      <c r="K1" s="418" t="s">
        <v>794</v>
      </c>
      <c r="L1" s="418" t="s">
        <v>795</v>
      </c>
      <c r="M1" s="418" t="s">
        <v>796</v>
      </c>
      <c r="N1" s="418" t="s">
        <v>797</v>
      </c>
      <c r="O1" s="418" t="s">
        <v>798</v>
      </c>
      <c r="P1" s="418" t="s">
        <v>799</v>
      </c>
      <c r="Q1" s="418" t="s">
        <v>800</v>
      </c>
      <c r="R1" s="419"/>
      <c r="S1" s="419"/>
      <c r="T1" s="419"/>
      <c r="U1" s="1"/>
      <c r="V1" s="1"/>
      <c r="W1" s="1"/>
      <c r="X1" s="1"/>
      <c r="Y1" s="1"/>
      <c r="Z1" s="1"/>
    </row>
    <row r="2" spans="1:26" ht="15.75" customHeight="1">
      <c r="A2" s="420">
        <v>1</v>
      </c>
      <c r="B2" s="421" t="s">
        <v>801</v>
      </c>
      <c r="C2" s="422" t="s">
        <v>11</v>
      </c>
      <c r="D2" s="423" t="s">
        <v>802</v>
      </c>
      <c r="E2" s="424">
        <v>100</v>
      </c>
      <c r="F2" s="425" t="s">
        <v>803</v>
      </c>
      <c r="G2" s="423" t="s">
        <v>804</v>
      </c>
      <c r="H2" s="425">
        <v>1</v>
      </c>
      <c r="I2" s="423" t="s">
        <v>805</v>
      </c>
      <c r="J2" s="423" t="s">
        <v>806</v>
      </c>
      <c r="K2" s="423" t="s">
        <v>803</v>
      </c>
      <c r="L2" s="426" t="s">
        <v>807</v>
      </c>
      <c r="M2" s="427" t="s">
        <v>808</v>
      </c>
      <c r="N2" s="425" t="s">
        <v>803</v>
      </c>
      <c r="O2" s="428" t="s">
        <v>809</v>
      </c>
      <c r="P2" s="425" t="s">
        <v>810</v>
      </c>
      <c r="Q2" s="423" t="s">
        <v>811</v>
      </c>
      <c r="R2" s="419"/>
      <c r="S2" s="419"/>
      <c r="T2" s="419"/>
      <c r="U2" s="1"/>
      <c r="V2" s="1"/>
      <c r="W2" s="1"/>
      <c r="X2" s="1"/>
      <c r="Y2" s="1"/>
      <c r="Z2" s="1"/>
    </row>
    <row r="3" spans="1:26" ht="15.75" customHeight="1">
      <c r="A3" s="420">
        <v>2</v>
      </c>
      <c r="B3" s="429" t="s">
        <v>812</v>
      </c>
      <c r="C3" s="430" t="s">
        <v>16</v>
      </c>
      <c r="D3" s="431" t="s">
        <v>802</v>
      </c>
      <c r="E3" s="432">
        <v>100</v>
      </c>
      <c r="F3" s="425" t="s">
        <v>803</v>
      </c>
      <c r="G3" s="425" t="s">
        <v>813</v>
      </c>
      <c r="H3" s="420">
        <v>1</v>
      </c>
      <c r="I3" s="425" t="s">
        <v>805</v>
      </c>
      <c r="J3" s="425" t="s">
        <v>806</v>
      </c>
      <c r="K3" s="431" t="s">
        <v>814</v>
      </c>
      <c r="L3" s="433" t="s">
        <v>807</v>
      </c>
      <c r="M3" s="427" t="s">
        <v>815</v>
      </c>
      <c r="N3" s="420" t="s">
        <v>803</v>
      </c>
      <c r="O3" s="434" t="s">
        <v>816</v>
      </c>
      <c r="P3" s="420" t="s">
        <v>817</v>
      </c>
      <c r="Q3" s="431" t="s">
        <v>818</v>
      </c>
      <c r="R3" s="419"/>
      <c r="S3" s="419"/>
      <c r="T3" s="419"/>
      <c r="U3" s="1"/>
      <c r="V3" s="1"/>
      <c r="W3" s="1"/>
      <c r="X3" s="1"/>
      <c r="Y3" s="1"/>
      <c r="Z3" s="1"/>
    </row>
    <row r="4" spans="1:26" ht="15.75" customHeight="1">
      <c r="A4" s="420">
        <v>3</v>
      </c>
      <c r="B4" s="429" t="s">
        <v>819</v>
      </c>
      <c r="C4" s="430" t="s">
        <v>11</v>
      </c>
      <c r="D4" s="431" t="s">
        <v>802</v>
      </c>
      <c r="E4" s="432">
        <v>100</v>
      </c>
      <c r="F4" s="425" t="s">
        <v>803</v>
      </c>
      <c r="G4" s="425" t="s">
        <v>804</v>
      </c>
      <c r="H4" s="420">
        <v>1</v>
      </c>
      <c r="I4" s="425" t="s">
        <v>805</v>
      </c>
      <c r="J4" s="425" t="s">
        <v>806</v>
      </c>
      <c r="K4" s="431" t="s">
        <v>803</v>
      </c>
      <c r="L4" s="433" t="s">
        <v>807</v>
      </c>
      <c r="M4" s="427" t="s">
        <v>808</v>
      </c>
      <c r="N4" s="420" t="s">
        <v>803</v>
      </c>
      <c r="O4" s="434" t="s">
        <v>816</v>
      </c>
      <c r="P4" s="420" t="s">
        <v>817</v>
      </c>
      <c r="Q4" s="431" t="s">
        <v>818</v>
      </c>
      <c r="R4" s="419"/>
      <c r="S4" s="419"/>
      <c r="T4" s="419"/>
      <c r="U4" s="1"/>
      <c r="V4" s="1"/>
      <c r="W4" s="1"/>
      <c r="X4" s="1"/>
      <c r="Y4" s="1"/>
      <c r="Z4" s="1"/>
    </row>
    <row r="5" spans="1:26" ht="15.75" customHeight="1">
      <c r="A5" s="420">
        <v>4</v>
      </c>
      <c r="B5" s="429" t="s">
        <v>820</v>
      </c>
      <c r="C5" s="430" t="s">
        <v>11</v>
      </c>
      <c r="D5" s="431" t="s">
        <v>802</v>
      </c>
      <c r="E5" s="432">
        <v>100</v>
      </c>
      <c r="F5" s="425" t="s">
        <v>803</v>
      </c>
      <c r="G5" s="425" t="s">
        <v>804</v>
      </c>
      <c r="H5" s="420">
        <v>1</v>
      </c>
      <c r="I5" s="425" t="s">
        <v>805</v>
      </c>
      <c r="J5" s="425" t="s">
        <v>806</v>
      </c>
      <c r="K5" s="431" t="s">
        <v>803</v>
      </c>
      <c r="L5" s="433" t="s">
        <v>807</v>
      </c>
      <c r="M5" s="427" t="s">
        <v>821</v>
      </c>
      <c r="N5" s="420" t="s">
        <v>803</v>
      </c>
      <c r="O5" s="434" t="s">
        <v>816</v>
      </c>
      <c r="P5" s="420" t="s">
        <v>817</v>
      </c>
      <c r="Q5" s="431" t="s">
        <v>818</v>
      </c>
      <c r="R5" s="419"/>
      <c r="S5" s="419"/>
      <c r="T5" s="419"/>
      <c r="U5" s="1"/>
      <c r="V5" s="1"/>
      <c r="W5" s="1"/>
      <c r="X5" s="1"/>
      <c r="Y5" s="1"/>
      <c r="Z5" s="1"/>
    </row>
    <row r="6" spans="1:26" ht="15.75" customHeight="1">
      <c r="A6" s="420">
        <v>5</v>
      </c>
      <c r="B6" s="429" t="s">
        <v>822</v>
      </c>
      <c r="C6" s="430" t="s">
        <v>52</v>
      </c>
      <c r="D6" s="431" t="s">
        <v>802</v>
      </c>
      <c r="E6" s="432">
        <v>100</v>
      </c>
      <c r="F6" s="425" t="s">
        <v>814</v>
      </c>
      <c r="G6" s="425" t="s">
        <v>813</v>
      </c>
      <c r="H6" s="420">
        <v>1</v>
      </c>
      <c r="I6" s="425" t="s">
        <v>805</v>
      </c>
      <c r="J6" s="425" t="s">
        <v>806</v>
      </c>
      <c r="K6" s="431" t="s">
        <v>814</v>
      </c>
      <c r="L6" s="433" t="s">
        <v>807</v>
      </c>
      <c r="M6" s="427" t="s">
        <v>823</v>
      </c>
      <c r="N6" s="420" t="s">
        <v>803</v>
      </c>
      <c r="O6" s="434" t="s">
        <v>809</v>
      </c>
      <c r="P6" s="420" t="s">
        <v>810</v>
      </c>
      <c r="Q6" s="431" t="s">
        <v>811</v>
      </c>
      <c r="R6" s="419"/>
      <c r="S6" s="419"/>
      <c r="T6" s="419"/>
      <c r="U6" s="1"/>
      <c r="V6" s="1"/>
      <c r="W6" s="1"/>
      <c r="X6" s="1"/>
      <c r="Y6" s="1"/>
      <c r="Z6" s="1"/>
    </row>
    <row r="7" spans="1:26" ht="15.75" customHeight="1">
      <c r="A7" s="420">
        <v>6</v>
      </c>
      <c r="B7" s="429" t="s">
        <v>824</v>
      </c>
      <c r="C7" s="430" t="s">
        <v>16</v>
      </c>
      <c r="D7" s="431" t="s">
        <v>802</v>
      </c>
      <c r="E7" s="432">
        <v>100</v>
      </c>
      <c r="F7" s="425" t="s">
        <v>803</v>
      </c>
      <c r="G7" s="425" t="s">
        <v>813</v>
      </c>
      <c r="H7" s="420">
        <v>1</v>
      </c>
      <c r="I7" s="425" t="s">
        <v>805</v>
      </c>
      <c r="J7" s="425" t="s">
        <v>806</v>
      </c>
      <c r="K7" s="431" t="s">
        <v>814</v>
      </c>
      <c r="L7" s="433" t="s">
        <v>807</v>
      </c>
      <c r="M7" s="427" t="s">
        <v>815</v>
      </c>
      <c r="N7" s="420" t="s">
        <v>803</v>
      </c>
      <c r="O7" s="434" t="s">
        <v>816</v>
      </c>
      <c r="P7" s="420" t="s">
        <v>817</v>
      </c>
      <c r="Q7" s="431" t="s">
        <v>818</v>
      </c>
      <c r="R7" s="419"/>
      <c r="S7" s="419"/>
      <c r="T7" s="419"/>
      <c r="U7" s="1"/>
      <c r="V7" s="1"/>
      <c r="W7" s="1"/>
      <c r="X7" s="1"/>
      <c r="Y7" s="1"/>
      <c r="Z7" s="1"/>
    </row>
    <row r="8" spans="1:26" ht="15.75" customHeight="1">
      <c r="A8" s="420">
        <v>7</v>
      </c>
      <c r="B8" s="429" t="s">
        <v>825</v>
      </c>
      <c r="C8" s="430" t="s">
        <v>12</v>
      </c>
      <c r="D8" s="431" t="s">
        <v>802</v>
      </c>
      <c r="E8" s="432">
        <v>100</v>
      </c>
      <c r="F8" s="425" t="s">
        <v>803</v>
      </c>
      <c r="G8" s="425" t="s">
        <v>804</v>
      </c>
      <c r="H8" s="420">
        <v>1</v>
      </c>
      <c r="I8" s="425" t="s">
        <v>805</v>
      </c>
      <c r="J8" s="425" t="s">
        <v>806</v>
      </c>
      <c r="K8" s="431" t="s">
        <v>803</v>
      </c>
      <c r="L8" s="433" t="s">
        <v>807</v>
      </c>
      <c r="M8" s="427" t="s">
        <v>808</v>
      </c>
      <c r="N8" s="420" t="s">
        <v>803</v>
      </c>
      <c r="O8" s="434" t="s">
        <v>816</v>
      </c>
      <c r="P8" s="420" t="s">
        <v>817</v>
      </c>
      <c r="Q8" s="431" t="s">
        <v>818</v>
      </c>
      <c r="R8" s="419"/>
      <c r="S8" s="419"/>
      <c r="T8" s="419"/>
      <c r="U8" s="1"/>
      <c r="V8" s="1"/>
      <c r="W8" s="1"/>
      <c r="X8" s="1"/>
      <c r="Y8" s="1"/>
      <c r="Z8" s="1"/>
    </row>
    <row r="9" spans="1:26" ht="15.75" customHeight="1">
      <c r="A9" s="420">
        <v>8</v>
      </c>
      <c r="B9" s="429" t="s">
        <v>826</v>
      </c>
      <c r="C9" s="430" t="s">
        <v>12</v>
      </c>
      <c r="D9" s="431" t="s">
        <v>802</v>
      </c>
      <c r="E9" s="432">
        <v>100</v>
      </c>
      <c r="F9" s="425" t="s">
        <v>803</v>
      </c>
      <c r="G9" s="425" t="s">
        <v>804</v>
      </c>
      <c r="H9" s="420">
        <v>1</v>
      </c>
      <c r="I9" s="425" t="s">
        <v>805</v>
      </c>
      <c r="J9" s="425" t="s">
        <v>806</v>
      </c>
      <c r="K9" s="431" t="s">
        <v>803</v>
      </c>
      <c r="L9" s="433" t="s">
        <v>807</v>
      </c>
      <c r="M9" s="427" t="s">
        <v>808</v>
      </c>
      <c r="N9" s="420" t="s">
        <v>803</v>
      </c>
      <c r="O9" s="434" t="s">
        <v>816</v>
      </c>
      <c r="P9" s="420" t="s">
        <v>817</v>
      </c>
      <c r="Q9" s="431" t="s">
        <v>818</v>
      </c>
      <c r="R9" s="419"/>
      <c r="S9" s="419"/>
      <c r="T9" s="419"/>
      <c r="U9" s="1"/>
      <c r="V9" s="1"/>
      <c r="W9" s="1"/>
      <c r="X9" s="1"/>
      <c r="Y9" s="1"/>
      <c r="Z9" s="1"/>
    </row>
    <row r="10" spans="1:26" ht="15.75" customHeight="1">
      <c r="A10" s="435">
        <v>9</v>
      </c>
      <c r="B10" s="436" t="s">
        <v>827</v>
      </c>
      <c r="C10" s="437" t="s">
        <v>11</v>
      </c>
      <c r="D10" s="431" t="s">
        <v>802</v>
      </c>
      <c r="E10" s="432">
        <v>100</v>
      </c>
      <c r="F10" s="425" t="s">
        <v>803</v>
      </c>
      <c r="G10" s="425" t="s">
        <v>828</v>
      </c>
      <c r="H10" s="420">
        <v>1</v>
      </c>
      <c r="I10" s="425" t="s">
        <v>803</v>
      </c>
      <c r="J10" s="425" t="s">
        <v>803</v>
      </c>
      <c r="K10" s="431" t="s">
        <v>803</v>
      </c>
      <c r="L10" s="433" t="s">
        <v>807</v>
      </c>
      <c r="M10" s="427" t="s">
        <v>808</v>
      </c>
      <c r="N10" s="420" t="s">
        <v>803</v>
      </c>
      <c r="O10" s="434" t="s">
        <v>809</v>
      </c>
      <c r="P10" s="420" t="s">
        <v>810</v>
      </c>
      <c r="Q10" s="431" t="s">
        <v>811</v>
      </c>
      <c r="R10" s="419"/>
      <c r="S10" s="419"/>
      <c r="T10" s="419"/>
      <c r="U10" s="1"/>
      <c r="V10" s="1"/>
      <c r="W10" s="1"/>
      <c r="X10" s="1"/>
      <c r="Y10" s="1"/>
      <c r="Z10" s="1"/>
    </row>
    <row r="11" spans="1:26" ht="15.75" customHeight="1">
      <c r="A11" s="438">
        <v>10</v>
      </c>
      <c r="B11" s="439" t="s">
        <v>829</v>
      </c>
      <c r="C11" s="440" t="s">
        <v>67</v>
      </c>
      <c r="D11" s="431" t="s">
        <v>802</v>
      </c>
      <c r="E11" s="432">
        <v>100</v>
      </c>
      <c r="F11" s="435" t="s">
        <v>803</v>
      </c>
      <c r="G11" s="441" t="s">
        <v>828</v>
      </c>
      <c r="H11" s="435">
        <v>1</v>
      </c>
      <c r="I11" s="441" t="s">
        <v>803</v>
      </c>
      <c r="J11" s="441" t="s">
        <v>803</v>
      </c>
      <c r="K11" s="441" t="s">
        <v>803</v>
      </c>
      <c r="L11" s="433" t="s">
        <v>807</v>
      </c>
      <c r="M11" s="427" t="s">
        <v>830</v>
      </c>
      <c r="N11" s="420" t="s">
        <v>803</v>
      </c>
      <c r="O11" s="434" t="s">
        <v>809</v>
      </c>
      <c r="P11" s="420" t="s">
        <v>810</v>
      </c>
      <c r="Q11" s="431" t="s">
        <v>811</v>
      </c>
      <c r="R11" s="419"/>
      <c r="S11" s="419"/>
      <c r="T11" s="419"/>
      <c r="U11" s="1"/>
      <c r="V11" s="1"/>
      <c r="W11" s="1"/>
      <c r="X11" s="1"/>
      <c r="Y11" s="1"/>
      <c r="Z11" s="1"/>
    </row>
    <row r="12" spans="1:26" ht="15.75" customHeight="1">
      <c r="A12" s="425">
        <v>11</v>
      </c>
      <c r="B12" s="439" t="s">
        <v>831</v>
      </c>
      <c r="C12" s="440" t="s">
        <v>12</v>
      </c>
      <c r="D12" s="441" t="s">
        <v>60</v>
      </c>
      <c r="E12" s="442">
        <v>100</v>
      </c>
      <c r="F12" s="438" t="s">
        <v>805</v>
      </c>
      <c r="G12" s="443" t="s">
        <v>813</v>
      </c>
      <c r="H12" s="438">
        <v>1</v>
      </c>
      <c r="I12" s="443" t="s">
        <v>803</v>
      </c>
      <c r="J12" s="443" t="s">
        <v>803</v>
      </c>
      <c r="K12" s="443" t="s">
        <v>813</v>
      </c>
      <c r="L12" s="444" t="s">
        <v>807</v>
      </c>
      <c r="M12" s="445" t="s">
        <v>832</v>
      </c>
      <c r="N12" s="435" t="s">
        <v>803</v>
      </c>
      <c r="O12" s="446" t="s">
        <v>809</v>
      </c>
      <c r="P12" s="447" t="s">
        <v>833</v>
      </c>
      <c r="Q12" s="441" t="s">
        <v>811</v>
      </c>
      <c r="R12" s="419"/>
      <c r="S12" s="419"/>
      <c r="T12" s="419"/>
      <c r="U12" s="1"/>
      <c r="V12" s="1"/>
      <c r="W12" s="1"/>
      <c r="X12" s="1"/>
      <c r="Y12" s="1"/>
      <c r="Z12" s="1"/>
    </row>
    <row r="13" spans="1:26" ht="15.75" customHeight="1">
      <c r="A13" s="448">
        <v>12</v>
      </c>
      <c r="B13" s="449" t="s">
        <v>834</v>
      </c>
      <c r="C13" s="449" t="s">
        <v>2</v>
      </c>
      <c r="D13" s="450" t="s">
        <v>66</v>
      </c>
      <c r="E13" s="451">
        <v>100</v>
      </c>
      <c r="F13" s="450" t="s">
        <v>803</v>
      </c>
      <c r="G13" s="450" t="s">
        <v>813</v>
      </c>
      <c r="H13" s="449">
        <v>26</v>
      </c>
      <c r="I13" s="450" t="s">
        <v>814</v>
      </c>
      <c r="J13" s="450" t="s">
        <v>803</v>
      </c>
      <c r="K13" s="450" t="s">
        <v>814</v>
      </c>
      <c r="L13" s="452" t="s">
        <v>807</v>
      </c>
      <c r="M13" s="452" t="s">
        <v>835</v>
      </c>
      <c r="N13" s="450" t="s">
        <v>803</v>
      </c>
      <c r="O13" s="450" t="s">
        <v>809</v>
      </c>
      <c r="P13" s="450" t="s">
        <v>810</v>
      </c>
      <c r="Q13" s="450" t="s">
        <v>811</v>
      </c>
      <c r="R13" s="453"/>
      <c r="S13" s="453"/>
      <c r="T13" s="453"/>
      <c r="U13" s="1"/>
      <c r="V13" s="1"/>
      <c r="W13" s="1"/>
      <c r="X13" s="1"/>
      <c r="Y13" s="1"/>
      <c r="Z13" s="1"/>
    </row>
    <row r="14" spans="1:26" ht="15.75" customHeight="1">
      <c r="A14" s="448">
        <v>13</v>
      </c>
      <c r="B14" s="454" t="s">
        <v>836</v>
      </c>
      <c r="C14" s="454" t="s">
        <v>12</v>
      </c>
      <c r="D14" s="455" t="s">
        <v>66</v>
      </c>
      <c r="E14" s="456">
        <v>100</v>
      </c>
      <c r="F14" s="455" t="s">
        <v>803</v>
      </c>
      <c r="G14" s="455" t="s">
        <v>837</v>
      </c>
      <c r="H14" s="454">
        <v>26</v>
      </c>
      <c r="I14" s="455" t="s">
        <v>838</v>
      </c>
      <c r="J14" s="455" t="s">
        <v>803</v>
      </c>
      <c r="K14" s="455" t="s">
        <v>814</v>
      </c>
      <c r="L14" s="457" t="s">
        <v>807</v>
      </c>
      <c r="M14" s="457" t="s">
        <v>835</v>
      </c>
      <c r="N14" s="455" t="s">
        <v>803</v>
      </c>
      <c r="O14" s="455" t="s">
        <v>809</v>
      </c>
      <c r="P14" s="455" t="s">
        <v>810</v>
      </c>
      <c r="Q14" s="455" t="s">
        <v>811</v>
      </c>
      <c r="R14" s="453"/>
      <c r="S14" s="453"/>
      <c r="T14" s="453"/>
      <c r="U14" s="1"/>
      <c r="V14" s="1"/>
      <c r="W14" s="1"/>
      <c r="X14" s="1"/>
      <c r="Y14" s="1"/>
      <c r="Z14" s="1"/>
    </row>
    <row r="15" spans="1:26" ht="15.75" customHeight="1">
      <c r="A15" s="448">
        <v>14</v>
      </c>
      <c r="B15" s="454" t="s">
        <v>839</v>
      </c>
      <c r="C15" s="454" t="s">
        <v>11</v>
      </c>
      <c r="D15" s="455" t="s">
        <v>66</v>
      </c>
      <c r="E15" s="456">
        <v>100</v>
      </c>
      <c r="F15" s="455" t="s">
        <v>803</v>
      </c>
      <c r="G15" s="455" t="s">
        <v>814</v>
      </c>
      <c r="H15" s="454">
        <v>22</v>
      </c>
      <c r="I15" s="455" t="s">
        <v>804</v>
      </c>
      <c r="J15" s="455" t="s">
        <v>803</v>
      </c>
      <c r="K15" s="455" t="s">
        <v>803</v>
      </c>
      <c r="L15" s="457" t="s">
        <v>807</v>
      </c>
      <c r="M15" s="457"/>
      <c r="N15" s="455" t="s">
        <v>803</v>
      </c>
      <c r="O15" s="455" t="s">
        <v>816</v>
      </c>
      <c r="P15" s="455" t="s">
        <v>817</v>
      </c>
      <c r="Q15" s="455" t="s">
        <v>818</v>
      </c>
      <c r="R15" s="453"/>
      <c r="S15" s="453"/>
      <c r="T15" s="453"/>
      <c r="U15" s="1"/>
      <c r="V15" s="1"/>
      <c r="W15" s="1"/>
      <c r="X15" s="1"/>
      <c r="Y15" s="1"/>
      <c r="Z15" s="1"/>
    </row>
    <row r="16" spans="1:26" ht="15.75" customHeight="1">
      <c r="A16" s="448">
        <v>15</v>
      </c>
      <c r="B16" s="454" t="s">
        <v>840</v>
      </c>
      <c r="C16" s="454" t="s">
        <v>11</v>
      </c>
      <c r="D16" s="455" t="s">
        <v>68</v>
      </c>
      <c r="E16" s="456">
        <v>100</v>
      </c>
      <c r="F16" s="455" t="s">
        <v>803</v>
      </c>
      <c r="G16" s="455" t="s">
        <v>837</v>
      </c>
      <c r="H16" s="454">
        <v>28</v>
      </c>
      <c r="I16" s="455" t="s">
        <v>838</v>
      </c>
      <c r="J16" s="455" t="s">
        <v>803</v>
      </c>
      <c r="K16" s="455" t="s">
        <v>814</v>
      </c>
      <c r="L16" s="457" t="s">
        <v>807</v>
      </c>
      <c r="M16" s="457" t="s">
        <v>835</v>
      </c>
      <c r="N16" s="455" t="s">
        <v>803</v>
      </c>
      <c r="O16" s="455" t="s">
        <v>816</v>
      </c>
      <c r="P16" s="455" t="s">
        <v>817</v>
      </c>
      <c r="Q16" s="455" t="s">
        <v>818</v>
      </c>
      <c r="R16" s="282"/>
      <c r="S16" s="282"/>
      <c r="T16" s="282"/>
      <c r="U16" s="1"/>
      <c r="V16" s="1"/>
      <c r="W16" s="1"/>
      <c r="X16" s="1"/>
      <c r="Y16" s="1"/>
      <c r="Z16" s="1"/>
    </row>
    <row r="17" spans="1:26" ht="15.75" customHeight="1">
      <c r="A17" s="448">
        <v>16</v>
      </c>
      <c r="B17" s="454" t="s">
        <v>841</v>
      </c>
      <c r="C17" s="454" t="s">
        <v>11</v>
      </c>
      <c r="D17" s="455" t="s">
        <v>70</v>
      </c>
      <c r="E17" s="456">
        <v>100</v>
      </c>
      <c r="F17" s="455" t="s">
        <v>803</v>
      </c>
      <c r="G17" s="455" t="s">
        <v>837</v>
      </c>
      <c r="H17" s="454">
        <v>30</v>
      </c>
      <c r="I17" s="455" t="s">
        <v>838</v>
      </c>
      <c r="J17" s="455" t="s">
        <v>803</v>
      </c>
      <c r="K17" s="455" t="s">
        <v>814</v>
      </c>
      <c r="L17" s="457" t="s">
        <v>807</v>
      </c>
      <c r="M17" s="457" t="s">
        <v>835</v>
      </c>
      <c r="N17" s="455" t="s">
        <v>803</v>
      </c>
      <c r="O17" s="455" t="s">
        <v>816</v>
      </c>
      <c r="P17" s="455" t="s">
        <v>817</v>
      </c>
      <c r="Q17" s="455" t="s">
        <v>818</v>
      </c>
      <c r="R17" s="282"/>
      <c r="S17" s="282"/>
      <c r="T17" s="282"/>
      <c r="U17" s="1"/>
      <c r="V17" s="1"/>
      <c r="W17" s="1"/>
      <c r="X17" s="1"/>
      <c r="Y17" s="1"/>
      <c r="Z17" s="1"/>
    </row>
    <row r="18" spans="1:26" ht="15.75" customHeight="1">
      <c r="A18" s="448">
        <v>17</v>
      </c>
      <c r="B18" s="454" t="s">
        <v>842</v>
      </c>
      <c r="C18" s="454" t="s">
        <v>12</v>
      </c>
      <c r="D18" s="455" t="s">
        <v>71</v>
      </c>
      <c r="E18" s="456">
        <v>100</v>
      </c>
      <c r="F18" s="455" t="s">
        <v>803</v>
      </c>
      <c r="G18" s="455" t="s">
        <v>843</v>
      </c>
      <c r="H18" s="454">
        <v>36</v>
      </c>
      <c r="I18" s="455" t="s">
        <v>844</v>
      </c>
      <c r="J18" s="455" t="s">
        <v>803</v>
      </c>
      <c r="K18" s="455" t="s">
        <v>814</v>
      </c>
      <c r="L18" s="457" t="s">
        <v>807</v>
      </c>
      <c r="M18" s="457" t="s">
        <v>835</v>
      </c>
      <c r="N18" s="455" t="s">
        <v>803</v>
      </c>
      <c r="O18" s="455" t="s">
        <v>809</v>
      </c>
      <c r="P18" s="455" t="s">
        <v>810</v>
      </c>
      <c r="Q18" s="455" t="s">
        <v>811</v>
      </c>
      <c r="R18" s="282"/>
      <c r="S18" s="282"/>
      <c r="T18" s="282"/>
      <c r="U18" s="1"/>
      <c r="V18" s="1"/>
      <c r="W18" s="1"/>
      <c r="X18" s="1"/>
      <c r="Y18" s="1"/>
      <c r="Z18" s="1"/>
    </row>
    <row r="19" spans="1:26" ht="15.75" customHeight="1">
      <c r="A19" s="448">
        <v>18</v>
      </c>
      <c r="B19" s="454" t="s">
        <v>845</v>
      </c>
      <c r="C19" s="454" t="s">
        <v>10</v>
      </c>
      <c r="D19" s="455" t="s">
        <v>70</v>
      </c>
      <c r="E19" s="456">
        <v>100</v>
      </c>
      <c r="F19" s="455" t="s">
        <v>803</v>
      </c>
      <c r="G19" s="455" t="s">
        <v>804</v>
      </c>
      <c r="H19" s="454">
        <v>21</v>
      </c>
      <c r="I19" s="455" t="s">
        <v>805</v>
      </c>
      <c r="J19" s="455" t="s">
        <v>803</v>
      </c>
      <c r="K19" s="455" t="s">
        <v>806</v>
      </c>
      <c r="L19" s="457" t="s">
        <v>807</v>
      </c>
      <c r="M19" s="457" t="s">
        <v>846</v>
      </c>
      <c r="N19" s="455" t="s">
        <v>803</v>
      </c>
      <c r="O19" s="455" t="s">
        <v>816</v>
      </c>
      <c r="P19" s="455" t="s">
        <v>817</v>
      </c>
      <c r="Q19" s="455" t="s">
        <v>818</v>
      </c>
      <c r="R19" s="282"/>
      <c r="S19" s="282"/>
      <c r="T19" s="282"/>
      <c r="U19" s="1"/>
      <c r="V19" s="1"/>
      <c r="W19" s="1"/>
      <c r="X19" s="1"/>
      <c r="Y19" s="1"/>
      <c r="Z19" s="1"/>
    </row>
    <row r="20" spans="1:26" ht="15.75" customHeight="1">
      <c r="A20" s="448">
        <v>19</v>
      </c>
      <c r="B20" s="454" t="s">
        <v>847</v>
      </c>
      <c r="C20" s="454" t="s">
        <v>4</v>
      </c>
      <c r="D20" s="455" t="s">
        <v>66</v>
      </c>
      <c r="E20" s="456">
        <v>100</v>
      </c>
      <c r="F20" s="455" t="s">
        <v>803</v>
      </c>
      <c r="G20" s="455" t="s">
        <v>848</v>
      </c>
      <c r="H20" s="454">
        <v>19</v>
      </c>
      <c r="I20" s="455" t="s">
        <v>849</v>
      </c>
      <c r="J20" s="455" t="s">
        <v>803</v>
      </c>
      <c r="K20" s="455" t="s">
        <v>849</v>
      </c>
      <c r="L20" s="457" t="s">
        <v>807</v>
      </c>
      <c r="M20" s="457" t="s">
        <v>850</v>
      </c>
      <c r="N20" s="455" t="s">
        <v>803</v>
      </c>
      <c r="O20" s="455" t="s">
        <v>816</v>
      </c>
      <c r="P20" s="455" t="s">
        <v>817</v>
      </c>
      <c r="Q20" s="455" t="s">
        <v>818</v>
      </c>
      <c r="R20" s="282"/>
      <c r="S20" s="282"/>
      <c r="T20" s="282"/>
      <c r="U20" s="1"/>
      <c r="V20" s="1"/>
      <c r="W20" s="1"/>
      <c r="X20" s="1"/>
      <c r="Y20" s="1"/>
      <c r="Z20" s="1"/>
    </row>
    <row r="21" spans="1:26" ht="15.75" customHeight="1">
      <c r="A21" s="448">
        <v>20</v>
      </c>
      <c r="B21" s="454" t="s">
        <v>851</v>
      </c>
      <c r="C21" s="454" t="s">
        <v>11</v>
      </c>
      <c r="D21" s="455" t="s">
        <v>71</v>
      </c>
      <c r="E21" s="456">
        <v>100</v>
      </c>
      <c r="F21" s="455" t="s">
        <v>803</v>
      </c>
      <c r="G21" s="455" t="s">
        <v>813</v>
      </c>
      <c r="H21" s="454">
        <v>36</v>
      </c>
      <c r="I21" s="455" t="s">
        <v>814</v>
      </c>
      <c r="J21" s="455" t="s">
        <v>803</v>
      </c>
      <c r="K21" s="455" t="s">
        <v>814</v>
      </c>
      <c r="L21" s="457" t="s">
        <v>807</v>
      </c>
      <c r="M21" s="457" t="s">
        <v>835</v>
      </c>
      <c r="N21" s="455" t="s">
        <v>803</v>
      </c>
      <c r="O21" s="455" t="s">
        <v>809</v>
      </c>
      <c r="P21" s="455" t="s">
        <v>810</v>
      </c>
      <c r="Q21" s="455" t="s">
        <v>811</v>
      </c>
      <c r="R21" s="282"/>
      <c r="S21" s="282"/>
      <c r="T21" s="282"/>
      <c r="U21" s="1"/>
      <c r="V21" s="1"/>
      <c r="W21" s="1"/>
      <c r="X21" s="1"/>
      <c r="Y21" s="1"/>
      <c r="Z21" s="1"/>
    </row>
    <row r="22" spans="1:26" ht="15.75" customHeight="1">
      <c r="A22" s="448">
        <v>21</v>
      </c>
      <c r="B22" s="454" t="s">
        <v>852</v>
      </c>
      <c r="C22" s="454" t="s">
        <v>11</v>
      </c>
      <c r="D22" s="455" t="s">
        <v>70</v>
      </c>
      <c r="E22" s="456">
        <v>100</v>
      </c>
      <c r="F22" s="455" t="s">
        <v>805</v>
      </c>
      <c r="G22" s="455" t="s">
        <v>844</v>
      </c>
      <c r="H22" s="454">
        <v>34</v>
      </c>
      <c r="I22" s="455" t="s">
        <v>843</v>
      </c>
      <c r="J22" s="455" t="s">
        <v>803</v>
      </c>
      <c r="K22" s="455" t="s">
        <v>814</v>
      </c>
      <c r="L22" s="457" t="s">
        <v>807</v>
      </c>
      <c r="M22" s="457" t="s">
        <v>835</v>
      </c>
      <c r="N22" s="455" t="s">
        <v>803</v>
      </c>
      <c r="O22" s="455" t="s">
        <v>809</v>
      </c>
      <c r="P22" s="455" t="s">
        <v>810</v>
      </c>
      <c r="Q22" s="455" t="s">
        <v>811</v>
      </c>
      <c r="R22" s="282"/>
      <c r="S22" s="282"/>
      <c r="T22" s="282"/>
      <c r="U22" s="1"/>
      <c r="V22" s="1"/>
      <c r="W22" s="1"/>
      <c r="X22" s="1"/>
      <c r="Y22" s="1"/>
      <c r="Z22" s="1"/>
    </row>
    <row r="23" spans="1:26" ht="15.75" customHeight="1">
      <c r="A23" s="448">
        <v>22</v>
      </c>
      <c r="B23" s="454" t="s">
        <v>853</v>
      </c>
      <c r="C23" s="454" t="s">
        <v>12</v>
      </c>
      <c r="D23" s="455" t="s">
        <v>66</v>
      </c>
      <c r="E23" s="456">
        <v>100</v>
      </c>
      <c r="F23" s="455" t="s">
        <v>805</v>
      </c>
      <c r="G23" s="455" t="s">
        <v>854</v>
      </c>
      <c r="H23" s="454">
        <v>21</v>
      </c>
      <c r="I23" s="455" t="s">
        <v>855</v>
      </c>
      <c r="J23" s="455" t="s">
        <v>803</v>
      </c>
      <c r="K23" s="455" t="s">
        <v>814</v>
      </c>
      <c r="L23" s="457" t="s">
        <v>807</v>
      </c>
      <c r="M23" s="457" t="s">
        <v>835</v>
      </c>
      <c r="N23" s="455" t="s">
        <v>803</v>
      </c>
      <c r="O23" s="455" t="s">
        <v>816</v>
      </c>
      <c r="P23" s="455" t="s">
        <v>817</v>
      </c>
      <c r="Q23" s="455" t="s">
        <v>818</v>
      </c>
      <c r="R23" s="282"/>
      <c r="S23" s="282"/>
      <c r="T23" s="282"/>
      <c r="U23" s="1"/>
      <c r="V23" s="1"/>
      <c r="W23" s="1"/>
      <c r="X23" s="1"/>
      <c r="Y23" s="1"/>
      <c r="Z23" s="1"/>
    </row>
    <row r="24" spans="1:26" ht="15.75" customHeight="1">
      <c r="A24" s="458">
        <v>23</v>
      </c>
      <c r="B24" s="459" t="s">
        <v>856</v>
      </c>
      <c r="C24" s="459" t="s">
        <v>11</v>
      </c>
      <c r="D24" s="460" t="s">
        <v>71</v>
      </c>
      <c r="E24" s="461">
        <v>100</v>
      </c>
      <c r="F24" s="460" t="s">
        <v>805</v>
      </c>
      <c r="G24" s="460" t="s">
        <v>844</v>
      </c>
      <c r="H24" s="459">
        <v>36</v>
      </c>
      <c r="I24" s="460" t="s">
        <v>843</v>
      </c>
      <c r="J24" s="460" t="s">
        <v>803</v>
      </c>
      <c r="K24" s="460" t="s">
        <v>814</v>
      </c>
      <c r="L24" s="462" t="s">
        <v>807</v>
      </c>
      <c r="M24" s="462" t="s">
        <v>835</v>
      </c>
      <c r="N24" s="460" t="s">
        <v>803</v>
      </c>
      <c r="O24" s="460" t="s">
        <v>809</v>
      </c>
      <c r="P24" s="460" t="s">
        <v>810</v>
      </c>
      <c r="Q24" s="460" t="s">
        <v>811</v>
      </c>
      <c r="R24" s="282"/>
      <c r="S24" s="282"/>
      <c r="T24" s="282"/>
      <c r="U24" s="1"/>
      <c r="V24" s="1"/>
      <c r="W24" s="1"/>
      <c r="X24" s="1"/>
      <c r="Y24" s="1"/>
      <c r="Z24" s="1"/>
    </row>
    <row r="25" spans="1:26" ht="15.75" customHeight="1">
      <c r="A25" s="463"/>
      <c r="B25" s="419"/>
      <c r="C25" s="419"/>
      <c r="D25" s="464"/>
      <c r="E25" s="419"/>
      <c r="F25" s="419"/>
      <c r="G25" s="419"/>
      <c r="H25" s="419"/>
      <c r="I25" s="419"/>
      <c r="J25" s="419"/>
      <c r="K25" s="465"/>
      <c r="L25" s="465"/>
      <c r="M25" s="465"/>
      <c r="N25" s="465"/>
      <c r="O25" s="465"/>
      <c r="P25" s="465"/>
      <c r="Q25" s="465"/>
      <c r="R25" s="465"/>
      <c r="S25" s="465"/>
      <c r="T25" s="465"/>
      <c r="U25" s="1"/>
      <c r="V25" s="1"/>
      <c r="W25" s="1"/>
      <c r="X25" s="1"/>
      <c r="Y25" s="1"/>
      <c r="Z25" s="1"/>
    </row>
    <row r="26" spans="1:26" ht="15.75" customHeight="1">
      <c r="A26" s="465"/>
      <c r="B26" s="466" t="s">
        <v>857</v>
      </c>
      <c r="C26" s="466"/>
      <c r="D26" s="467"/>
      <c r="E26" s="467"/>
      <c r="F26" s="467"/>
      <c r="G26" s="467"/>
      <c r="H26" s="467"/>
      <c r="I26" s="467"/>
      <c r="J26" s="465"/>
      <c r="K26" s="465"/>
      <c r="L26" s="465"/>
      <c r="M26" s="465"/>
      <c r="N26" s="468"/>
      <c r="O26" s="465"/>
      <c r="P26" s="465"/>
      <c r="Q26" s="465"/>
      <c r="R26" s="465"/>
      <c r="S26" s="465"/>
      <c r="T26" s="465"/>
      <c r="U26" s="1"/>
      <c r="V26" s="1"/>
      <c r="W26" s="1"/>
      <c r="X26" s="1"/>
      <c r="Y26" s="1"/>
      <c r="Z26" s="1"/>
    </row>
    <row r="27" spans="1:26" ht="15.75" customHeight="1">
      <c r="A27" s="465"/>
      <c r="B27" s="684" t="s">
        <v>858</v>
      </c>
      <c r="C27" s="621"/>
      <c r="D27" s="621"/>
      <c r="E27" s="621"/>
      <c r="F27" s="621"/>
      <c r="G27" s="621"/>
      <c r="H27" s="621"/>
      <c r="I27" s="621"/>
      <c r="J27" s="621"/>
      <c r="K27" s="621"/>
      <c r="L27" s="621"/>
      <c r="M27" s="621"/>
      <c r="N27" s="621"/>
      <c r="O27" s="621"/>
      <c r="P27" s="508"/>
      <c r="Q27" s="465"/>
      <c r="R27" s="465"/>
      <c r="S27" s="465"/>
      <c r="T27" s="465"/>
      <c r="U27" s="1"/>
      <c r="V27" s="1"/>
      <c r="W27" s="1"/>
      <c r="X27" s="1"/>
      <c r="Y27" s="1"/>
      <c r="Z27" s="1"/>
    </row>
    <row r="28" spans="1:26" ht="15.75" customHeight="1">
      <c r="A28" s="465"/>
      <c r="B28" s="684" t="s">
        <v>859</v>
      </c>
      <c r="C28" s="621"/>
      <c r="D28" s="621"/>
      <c r="E28" s="621"/>
      <c r="F28" s="621"/>
      <c r="G28" s="621"/>
      <c r="H28" s="621"/>
      <c r="I28" s="621"/>
      <c r="J28" s="621"/>
      <c r="K28" s="621"/>
      <c r="L28" s="621"/>
      <c r="M28" s="621"/>
      <c r="N28" s="621"/>
      <c r="O28" s="621"/>
      <c r="P28" s="508"/>
      <c r="Q28" s="465"/>
      <c r="R28" s="465"/>
      <c r="S28" s="465"/>
      <c r="T28" s="465"/>
      <c r="U28" s="1"/>
      <c r="V28" s="1"/>
      <c r="W28" s="1"/>
      <c r="X28" s="1"/>
      <c r="Y28" s="1"/>
      <c r="Z28" s="1"/>
    </row>
    <row r="29" spans="1:26" ht="15.75" customHeight="1">
      <c r="A29" s="465"/>
      <c r="B29" s="684" t="s">
        <v>860</v>
      </c>
      <c r="C29" s="621"/>
      <c r="D29" s="621"/>
      <c r="E29" s="621"/>
      <c r="F29" s="621"/>
      <c r="G29" s="621"/>
      <c r="H29" s="621"/>
      <c r="I29" s="621"/>
      <c r="J29" s="621"/>
      <c r="K29" s="621"/>
      <c r="L29" s="621"/>
      <c r="M29" s="621"/>
      <c r="N29" s="621"/>
      <c r="O29" s="621"/>
      <c r="P29" s="508"/>
      <c r="Q29" s="465"/>
      <c r="R29" s="465"/>
      <c r="S29" s="465"/>
      <c r="T29" s="465"/>
      <c r="U29" s="1"/>
      <c r="V29" s="1"/>
      <c r="W29" s="1"/>
      <c r="X29" s="1"/>
      <c r="Y29" s="1"/>
      <c r="Z29" s="1"/>
    </row>
    <row r="30" spans="1:26" ht="15.75" customHeight="1">
      <c r="A30" s="465"/>
      <c r="B30" s="684" t="s">
        <v>861</v>
      </c>
      <c r="C30" s="621"/>
      <c r="D30" s="621"/>
      <c r="E30" s="621"/>
      <c r="F30" s="621"/>
      <c r="G30" s="621"/>
      <c r="H30" s="621"/>
      <c r="I30" s="621"/>
      <c r="J30" s="621"/>
      <c r="K30" s="621"/>
      <c r="L30" s="621"/>
      <c r="M30" s="621"/>
      <c r="N30" s="621"/>
      <c r="O30" s="621"/>
      <c r="P30" s="508"/>
      <c r="Q30" s="465"/>
      <c r="R30" s="465"/>
      <c r="S30" s="465"/>
      <c r="T30" s="465"/>
      <c r="U30" s="1"/>
      <c r="V30" s="1"/>
      <c r="W30" s="1"/>
      <c r="X30" s="1"/>
      <c r="Y30" s="1"/>
      <c r="Z30" s="1"/>
    </row>
    <row r="31" spans="1:26" ht="15.75" customHeight="1">
      <c r="A31" s="465"/>
      <c r="B31" s="684" t="s">
        <v>862</v>
      </c>
      <c r="C31" s="621"/>
      <c r="D31" s="621"/>
      <c r="E31" s="621"/>
      <c r="F31" s="621"/>
      <c r="G31" s="621"/>
      <c r="H31" s="621"/>
      <c r="I31" s="621"/>
      <c r="J31" s="621"/>
      <c r="K31" s="621"/>
      <c r="L31" s="621"/>
      <c r="M31" s="621"/>
      <c r="N31" s="621"/>
      <c r="O31" s="621"/>
      <c r="P31" s="508"/>
      <c r="Q31" s="465"/>
      <c r="R31" s="465"/>
      <c r="S31" s="465"/>
      <c r="T31" s="465"/>
      <c r="U31" s="1"/>
      <c r="V31" s="1"/>
      <c r="W31" s="1"/>
      <c r="X31" s="1"/>
      <c r="Y31" s="1"/>
      <c r="Z31" s="1"/>
    </row>
    <row r="32" spans="1:26" ht="15.75" customHeight="1">
      <c r="A32" s="465"/>
      <c r="B32" s="684" t="s">
        <v>863</v>
      </c>
      <c r="C32" s="621"/>
      <c r="D32" s="621"/>
      <c r="E32" s="621"/>
      <c r="F32" s="621"/>
      <c r="G32" s="621"/>
      <c r="H32" s="621"/>
      <c r="I32" s="621"/>
      <c r="J32" s="621"/>
      <c r="K32" s="621"/>
      <c r="L32" s="621"/>
      <c r="M32" s="621"/>
      <c r="N32" s="621"/>
      <c r="O32" s="621"/>
      <c r="P32" s="508"/>
      <c r="Q32" s="465"/>
      <c r="R32" s="465"/>
      <c r="S32" s="465"/>
      <c r="T32" s="465"/>
      <c r="U32" s="1"/>
      <c r="V32" s="1"/>
      <c r="W32" s="1"/>
      <c r="X32" s="1"/>
      <c r="Y32" s="1"/>
      <c r="Z32" s="1"/>
    </row>
    <row r="33" spans="1:26" ht="15.75" customHeight="1">
      <c r="A33" s="465"/>
      <c r="B33" s="684" t="s">
        <v>864</v>
      </c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1"/>
      <c r="N33" s="621"/>
      <c r="O33" s="621"/>
      <c r="P33" s="508"/>
      <c r="Q33" s="465"/>
      <c r="R33" s="465"/>
      <c r="S33" s="465"/>
      <c r="T33" s="465"/>
      <c r="U33" s="1"/>
      <c r="V33" s="1"/>
      <c r="W33" s="1"/>
      <c r="X33" s="1"/>
      <c r="Y33" s="1"/>
      <c r="Z33" s="1"/>
    </row>
    <row r="34" spans="1:26" ht="15.75" customHeight="1">
      <c r="A34" s="465"/>
      <c r="B34" s="684" t="s">
        <v>865</v>
      </c>
      <c r="C34" s="621"/>
      <c r="D34" s="621"/>
      <c r="E34" s="621"/>
      <c r="F34" s="621"/>
      <c r="G34" s="621"/>
      <c r="H34" s="621"/>
      <c r="I34" s="621"/>
      <c r="J34" s="621"/>
      <c r="K34" s="621"/>
      <c r="L34" s="621"/>
      <c r="M34" s="621"/>
      <c r="N34" s="621"/>
      <c r="O34" s="621"/>
      <c r="P34" s="508"/>
      <c r="Q34" s="465"/>
      <c r="R34" s="465"/>
      <c r="S34" s="465"/>
      <c r="T34" s="465"/>
      <c r="U34" s="1"/>
      <c r="V34" s="1"/>
      <c r="W34" s="1"/>
      <c r="X34" s="1"/>
      <c r="Y34" s="1"/>
      <c r="Z34" s="1"/>
    </row>
    <row r="35" spans="1:26" ht="15.75" customHeight="1">
      <c r="A35" s="465"/>
      <c r="B35" s="684" t="s">
        <v>866</v>
      </c>
      <c r="C35" s="621"/>
      <c r="D35" s="621"/>
      <c r="E35" s="621"/>
      <c r="F35" s="621"/>
      <c r="G35" s="621"/>
      <c r="H35" s="621"/>
      <c r="I35" s="621"/>
      <c r="J35" s="621"/>
      <c r="K35" s="621"/>
      <c r="L35" s="621"/>
      <c r="M35" s="621"/>
      <c r="N35" s="621"/>
      <c r="O35" s="621"/>
      <c r="P35" s="508"/>
      <c r="Q35" s="465"/>
      <c r="R35" s="465"/>
      <c r="S35" s="465"/>
      <c r="T35" s="465"/>
      <c r="U35" s="1"/>
      <c r="V35" s="1"/>
      <c r="W35" s="1"/>
      <c r="X35" s="1"/>
      <c r="Y35" s="1"/>
      <c r="Z35" s="1"/>
    </row>
    <row r="36" spans="1:26" ht="15.75" customHeight="1">
      <c r="A36" s="465"/>
      <c r="B36" s="684" t="s">
        <v>867</v>
      </c>
      <c r="C36" s="621"/>
      <c r="D36" s="621"/>
      <c r="E36" s="621"/>
      <c r="F36" s="621"/>
      <c r="G36" s="621"/>
      <c r="H36" s="621"/>
      <c r="I36" s="621"/>
      <c r="J36" s="621"/>
      <c r="K36" s="621"/>
      <c r="L36" s="621"/>
      <c r="M36" s="621"/>
      <c r="N36" s="621"/>
      <c r="O36" s="621"/>
      <c r="P36" s="508"/>
      <c r="Q36" s="465"/>
      <c r="R36" s="465"/>
      <c r="S36" s="465"/>
      <c r="T36" s="465"/>
      <c r="U36" s="1"/>
      <c r="V36" s="1"/>
      <c r="W36" s="1"/>
      <c r="X36" s="1"/>
      <c r="Y36" s="1"/>
      <c r="Z36" s="1"/>
    </row>
    <row r="37" spans="1:26" ht="15.75" customHeight="1">
      <c r="A37" s="465"/>
      <c r="B37" s="684" t="s">
        <v>868</v>
      </c>
      <c r="C37" s="621"/>
      <c r="D37" s="621"/>
      <c r="E37" s="621"/>
      <c r="F37" s="621"/>
      <c r="G37" s="621"/>
      <c r="H37" s="621"/>
      <c r="I37" s="621"/>
      <c r="J37" s="621"/>
      <c r="K37" s="621"/>
      <c r="L37" s="621"/>
      <c r="M37" s="621"/>
      <c r="N37" s="621"/>
      <c r="O37" s="621"/>
      <c r="P37" s="508"/>
      <c r="Q37" s="465"/>
      <c r="R37" s="465"/>
      <c r="S37" s="465"/>
      <c r="T37" s="465"/>
      <c r="U37" s="1"/>
      <c r="V37" s="1"/>
      <c r="W37" s="1"/>
      <c r="X37" s="1"/>
      <c r="Y37" s="1"/>
      <c r="Z37" s="1"/>
    </row>
    <row r="38" spans="1:26" ht="15.75" customHeight="1">
      <c r="A38" s="465"/>
      <c r="B38" s="685" t="s">
        <v>869</v>
      </c>
      <c r="C38" s="621"/>
      <c r="D38" s="621"/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508"/>
      <c r="Q38" s="465"/>
      <c r="R38" s="465"/>
      <c r="S38" s="465"/>
      <c r="T38" s="465"/>
      <c r="U38" s="1"/>
      <c r="V38" s="1"/>
      <c r="W38" s="1"/>
      <c r="X38" s="1"/>
      <c r="Y38" s="1"/>
      <c r="Z38" s="1"/>
    </row>
    <row r="39" spans="1:26" ht="15.75" customHeight="1">
      <c r="A39" s="465"/>
      <c r="B39" s="685" t="s">
        <v>870</v>
      </c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508"/>
      <c r="Q39" s="465"/>
      <c r="R39" s="465"/>
      <c r="S39" s="465"/>
      <c r="T39" s="465"/>
      <c r="U39" s="1"/>
      <c r="V39" s="1"/>
      <c r="W39" s="1"/>
      <c r="X39" s="1"/>
      <c r="Y39" s="1"/>
      <c r="Z39" s="1"/>
    </row>
    <row r="40" spans="1:26" ht="15.75" customHeight="1">
      <c r="A40" s="465"/>
      <c r="B40" s="685" t="s">
        <v>871</v>
      </c>
      <c r="C40" s="621"/>
      <c r="D40" s="621"/>
      <c r="E40" s="621"/>
      <c r="F40" s="621"/>
      <c r="G40" s="621"/>
      <c r="H40" s="621"/>
      <c r="I40" s="621"/>
      <c r="J40" s="621"/>
      <c r="K40" s="621"/>
      <c r="L40" s="621"/>
      <c r="M40" s="621"/>
      <c r="N40" s="621"/>
      <c r="O40" s="621"/>
      <c r="P40" s="508"/>
      <c r="Q40" s="465"/>
      <c r="R40" s="465"/>
      <c r="S40" s="465"/>
      <c r="T40" s="465"/>
      <c r="U40" s="1"/>
      <c r="V40" s="1"/>
      <c r="W40" s="1"/>
      <c r="X40" s="1"/>
      <c r="Y40" s="1"/>
      <c r="Z40" s="1"/>
    </row>
    <row r="41" spans="1:26" ht="15.75" customHeight="1">
      <c r="A41" s="465"/>
      <c r="B41" s="685" t="s">
        <v>872</v>
      </c>
      <c r="C41" s="621"/>
      <c r="D41" s="621"/>
      <c r="E41" s="621"/>
      <c r="F41" s="621"/>
      <c r="G41" s="621"/>
      <c r="H41" s="621"/>
      <c r="I41" s="621"/>
      <c r="J41" s="621"/>
      <c r="K41" s="621"/>
      <c r="L41" s="621"/>
      <c r="M41" s="621"/>
      <c r="N41" s="621"/>
      <c r="O41" s="621"/>
      <c r="P41" s="508"/>
      <c r="Q41" s="465"/>
      <c r="R41" s="465"/>
      <c r="S41" s="465"/>
      <c r="T41" s="465"/>
      <c r="U41" s="1"/>
      <c r="V41" s="1"/>
      <c r="W41" s="1"/>
      <c r="X41" s="1"/>
      <c r="Y41" s="1"/>
      <c r="Z41" s="1"/>
    </row>
    <row r="42" spans="1:26" ht="15.75" customHeight="1">
      <c r="A42" s="465"/>
      <c r="B42" s="465"/>
      <c r="C42" s="465"/>
      <c r="D42" s="465"/>
      <c r="E42" s="465"/>
      <c r="F42" s="465"/>
      <c r="G42" s="465"/>
      <c r="H42" s="465"/>
      <c r="I42" s="465"/>
      <c r="J42" s="465"/>
      <c r="K42" s="465"/>
      <c r="L42" s="465"/>
      <c r="M42" s="465"/>
      <c r="N42" s="465"/>
      <c r="O42" s="465"/>
      <c r="P42" s="465"/>
      <c r="Q42" s="465"/>
      <c r="R42" s="465"/>
      <c r="S42" s="465"/>
      <c r="T42" s="465"/>
      <c r="U42" s="1"/>
      <c r="V42" s="1"/>
      <c r="W42" s="1"/>
      <c r="X42" s="1"/>
      <c r="Y42" s="1"/>
      <c r="Z42" s="1"/>
    </row>
    <row r="43" spans="1:26" ht="15.75" customHeight="1">
      <c r="A43" s="465"/>
      <c r="B43" s="465"/>
      <c r="C43" s="469"/>
      <c r="D43" s="686" t="s">
        <v>873</v>
      </c>
      <c r="E43" s="626"/>
      <c r="F43" s="465"/>
      <c r="G43" s="465"/>
      <c r="H43" s="465"/>
      <c r="I43" s="465"/>
      <c r="J43" s="465"/>
      <c r="K43" s="465"/>
      <c r="L43" s="465"/>
      <c r="M43" s="465"/>
      <c r="N43" s="465"/>
      <c r="O43" s="465"/>
      <c r="P43" s="465"/>
      <c r="Q43" s="465"/>
      <c r="R43" s="465"/>
      <c r="S43" s="465"/>
      <c r="T43" s="465"/>
      <c r="U43" s="1"/>
      <c r="V43" s="1"/>
      <c r="W43" s="1"/>
      <c r="X43" s="1"/>
      <c r="Y43" s="1"/>
      <c r="Z43" s="1"/>
    </row>
    <row r="44" spans="1:26" ht="15.75" customHeight="1">
      <c r="A44" s="465"/>
      <c r="B44" s="465"/>
      <c r="C44" s="470"/>
      <c r="D44" s="686" t="s">
        <v>874</v>
      </c>
      <c r="E44" s="626"/>
      <c r="F44" s="465"/>
      <c r="G44" s="465"/>
      <c r="H44" s="465"/>
      <c r="I44" s="465"/>
      <c r="J44" s="465"/>
      <c r="K44" s="465"/>
      <c r="L44" s="465"/>
      <c r="M44" s="465"/>
      <c r="N44" s="465"/>
      <c r="O44" s="465"/>
      <c r="P44" s="465"/>
      <c r="Q44" s="465"/>
      <c r="R44" s="465"/>
      <c r="S44" s="465"/>
      <c r="T44" s="465"/>
      <c r="U44" s="1"/>
      <c r="V44" s="1"/>
      <c r="W44" s="1"/>
      <c r="X44" s="1"/>
      <c r="Y44" s="1"/>
      <c r="Z44" s="1"/>
    </row>
    <row r="45" spans="1:26" ht="15.75" customHeight="1">
      <c r="A45" s="465"/>
      <c r="B45" s="465"/>
      <c r="C45" s="471"/>
      <c r="D45" s="686" t="s">
        <v>875</v>
      </c>
      <c r="E45" s="626"/>
      <c r="F45" s="465"/>
      <c r="G45" s="465"/>
      <c r="H45" s="465"/>
      <c r="I45" s="465"/>
      <c r="J45" s="465"/>
      <c r="K45" s="465"/>
      <c r="L45" s="465"/>
      <c r="M45" s="465"/>
      <c r="N45" s="465"/>
      <c r="O45" s="465"/>
      <c r="P45" s="465"/>
      <c r="Q45" s="465"/>
      <c r="R45" s="465"/>
      <c r="S45" s="465"/>
      <c r="T45" s="465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418" t="s">
        <v>123</v>
      </c>
      <c r="B49" s="418" t="s">
        <v>689</v>
      </c>
      <c r="C49" s="418" t="s">
        <v>876</v>
      </c>
      <c r="D49" s="418" t="s">
        <v>877</v>
      </c>
      <c r="E49" s="418" t="s">
        <v>878</v>
      </c>
      <c r="F49" s="418" t="s">
        <v>879</v>
      </c>
      <c r="G49" s="418" t="s">
        <v>880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472" t="s">
        <v>801</v>
      </c>
      <c r="B50" s="473" t="s">
        <v>11</v>
      </c>
      <c r="C50" s="474"/>
      <c r="D50" s="475"/>
      <c r="E50" s="474"/>
      <c r="F50" s="475"/>
      <c r="G50" s="47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476" t="s">
        <v>812</v>
      </c>
      <c r="B51" s="477" t="s">
        <v>16</v>
      </c>
      <c r="C51" s="478"/>
      <c r="D51" s="475"/>
      <c r="E51" s="475"/>
      <c r="F51" s="479"/>
      <c r="G51" s="47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476" t="s">
        <v>819</v>
      </c>
      <c r="B52" s="477" t="s">
        <v>11</v>
      </c>
      <c r="C52" s="478"/>
      <c r="D52" s="475"/>
      <c r="E52" s="475"/>
      <c r="F52" s="479"/>
      <c r="G52" s="47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476" t="s">
        <v>820</v>
      </c>
      <c r="B53" s="477" t="s">
        <v>11</v>
      </c>
      <c r="C53" s="478">
        <v>22</v>
      </c>
      <c r="D53" s="475">
        <v>95</v>
      </c>
      <c r="E53" s="475">
        <v>78</v>
      </c>
      <c r="F53" s="479">
        <v>3</v>
      </c>
      <c r="G53" s="475" t="s">
        <v>881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476" t="s">
        <v>822</v>
      </c>
      <c r="B54" s="477" t="s">
        <v>52</v>
      </c>
      <c r="C54" s="478"/>
      <c r="D54" s="475"/>
      <c r="E54" s="475"/>
      <c r="F54" s="479"/>
      <c r="G54" s="47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476" t="s">
        <v>824</v>
      </c>
      <c r="B55" s="477" t="s">
        <v>16</v>
      </c>
      <c r="C55" s="478">
        <v>10</v>
      </c>
      <c r="D55" s="475">
        <v>78</v>
      </c>
      <c r="E55" s="475">
        <v>65</v>
      </c>
      <c r="F55" s="479">
        <v>2</v>
      </c>
      <c r="G55" s="475" t="s">
        <v>882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476" t="s">
        <v>825</v>
      </c>
      <c r="B56" s="477" t="s">
        <v>12</v>
      </c>
      <c r="C56" s="478"/>
      <c r="D56" s="475"/>
      <c r="E56" s="475"/>
      <c r="F56" s="479"/>
      <c r="G56" s="47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476" t="s">
        <v>826</v>
      </c>
      <c r="B57" s="477" t="s">
        <v>12</v>
      </c>
      <c r="C57" s="478">
        <v>22</v>
      </c>
      <c r="D57" s="475">
        <v>194</v>
      </c>
      <c r="E57" s="475">
        <v>179</v>
      </c>
      <c r="F57" s="479">
        <v>4</v>
      </c>
      <c r="G57" s="475" t="s">
        <v>883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480" t="s">
        <v>827</v>
      </c>
      <c r="B58" s="481" t="s">
        <v>11</v>
      </c>
      <c r="C58" s="478">
        <v>19</v>
      </c>
      <c r="D58" s="475">
        <v>93</v>
      </c>
      <c r="E58" s="475">
        <v>115</v>
      </c>
      <c r="F58" s="479">
        <v>3</v>
      </c>
      <c r="G58" s="475" t="s">
        <v>884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482" t="s">
        <v>829</v>
      </c>
      <c r="B59" s="483" t="s">
        <v>67</v>
      </c>
      <c r="C59" s="478"/>
      <c r="D59" s="484"/>
      <c r="E59" s="485"/>
      <c r="F59" s="484"/>
      <c r="G59" s="48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486" t="s">
        <v>834</v>
      </c>
      <c r="B60" s="473" t="s">
        <v>2</v>
      </c>
      <c r="C60" s="487">
        <v>16</v>
      </c>
      <c r="D60" s="475">
        <v>146</v>
      </c>
      <c r="E60" s="474">
        <v>144</v>
      </c>
      <c r="F60" s="474">
        <v>2</v>
      </c>
      <c r="G60" s="474" t="s">
        <v>882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488" t="s">
        <v>836</v>
      </c>
      <c r="B61" s="477" t="s">
        <v>12</v>
      </c>
      <c r="C61" s="489">
        <v>22</v>
      </c>
      <c r="D61" s="479">
        <v>165</v>
      </c>
      <c r="E61" s="478">
        <v>76</v>
      </c>
      <c r="F61" s="478">
        <v>6</v>
      </c>
      <c r="G61" s="475" t="s">
        <v>884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490" t="s">
        <v>839</v>
      </c>
      <c r="B62" s="481" t="s">
        <v>11</v>
      </c>
      <c r="C62" s="489"/>
      <c r="D62" s="479"/>
      <c r="E62" s="478"/>
      <c r="F62" s="478"/>
      <c r="G62" s="47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486" t="s">
        <v>840</v>
      </c>
      <c r="B63" s="473" t="s">
        <v>11</v>
      </c>
      <c r="C63" s="489">
        <v>24</v>
      </c>
      <c r="D63" s="479">
        <v>39</v>
      </c>
      <c r="E63" s="478">
        <v>18</v>
      </c>
      <c r="F63" s="478">
        <v>3</v>
      </c>
      <c r="G63" s="475" t="s">
        <v>882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488" t="s">
        <v>841</v>
      </c>
      <c r="B64" s="477" t="s">
        <v>11</v>
      </c>
      <c r="C64" s="491"/>
      <c r="D64" s="484"/>
      <c r="E64" s="485"/>
      <c r="F64" s="485"/>
      <c r="G64" s="48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488" t="s">
        <v>842</v>
      </c>
      <c r="B65" s="477" t="s">
        <v>12</v>
      </c>
      <c r="C65" s="492"/>
      <c r="D65" s="493"/>
      <c r="E65" s="494"/>
      <c r="F65" s="494"/>
      <c r="G65" s="49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488" t="s">
        <v>845</v>
      </c>
      <c r="B66" s="477" t="s">
        <v>10</v>
      </c>
      <c r="C66" s="487"/>
      <c r="D66" s="475"/>
      <c r="E66" s="474"/>
      <c r="F66" s="474"/>
      <c r="G66" s="47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45:E45"/>
    <mergeCell ref="B34:P34"/>
    <mergeCell ref="B35:P35"/>
    <mergeCell ref="B36:P36"/>
    <mergeCell ref="B37:P37"/>
    <mergeCell ref="B38:P38"/>
    <mergeCell ref="B39:P39"/>
    <mergeCell ref="B40:P40"/>
    <mergeCell ref="B32:P32"/>
    <mergeCell ref="B33:P33"/>
    <mergeCell ref="B41:P41"/>
    <mergeCell ref="D43:E43"/>
    <mergeCell ref="D44:E44"/>
    <mergeCell ref="B27:P27"/>
    <mergeCell ref="B28:P28"/>
    <mergeCell ref="B29:P29"/>
    <mergeCell ref="B30:P30"/>
    <mergeCell ref="B31:P31"/>
  </mergeCells>
  <hyperlinks>
    <hyperlink ref="P12" r:id="rId1" xr:uid="{00000000-0004-0000-0E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Copia de COTIZADOR ENTREGA INME</vt:lpstr>
      <vt:lpstr>CC MAESTRA FEBRERO</vt:lpstr>
      <vt:lpstr>CC URMENETA FEBRERO</vt:lpstr>
      <vt:lpstr>CC RVC FEBRERO</vt:lpstr>
      <vt:lpstr>TOC TOC FEBRERO</vt:lpstr>
      <vt:lpstr>CC INGEVEC FEBRERO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I3</dc:creator>
  <cp:lastModifiedBy>gian franco henriquez   fuentes</cp:lastModifiedBy>
  <dcterms:created xsi:type="dcterms:W3CDTF">2026-04-27T03:29:39Z</dcterms:created>
  <dcterms:modified xsi:type="dcterms:W3CDTF">2026-04-27T03:29:39Z</dcterms:modified>
</cp:coreProperties>
</file>